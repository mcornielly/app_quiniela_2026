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_laravel\app_quiniela_2026\storage\app\"/>
    </mc:Choice>
  </mc:AlternateContent>
  <xr:revisionPtr revIDLastSave="0" documentId="13_ncr:1_{EDBFDDBB-5AB0-4ADF-AE40-2845FD81B20C}" xr6:coauthVersionLast="47" xr6:coauthVersionMax="47" xr10:uidLastSave="{00000000-0000-0000-0000-000000000000}"/>
  <bookViews>
    <workbookView xWindow="-108" yWindow="-108" windowWidth="23256" windowHeight="12456" xr2:uid="{B7E2FD9F-FEC9-4B4C-8F7E-AF2659257F0B}"/>
  </bookViews>
  <sheets>
    <sheet name="DailySchedule" sheetId="2" r:id="rId1"/>
  </sheets>
  <externalReferences>
    <externalReference r:id="rId2"/>
  </externalReferenc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1" i="2" l="1"/>
  <c r="C111" i="2"/>
  <c r="A110" i="2"/>
  <c r="D109" i="2"/>
  <c r="C109" i="2"/>
  <c r="A108" i="2"/>
  <c r="D107" i="2"/>
  <c r="C107" i="2"/>
  <c r="D106" i="2"/>
  <c r="C106" i="2"/>
  <c r="A105" i="2"/>
  <c r="D104" i="2"/>
  <c r="C104" i="2"/>
  <c r="D103" i="2"/>
  <c r="C103" i="2"/>
  <c r="D102" i="2"/>
  <c r="C102" i="2"/>
  <c r="D101" i="2"/>
  <c r="C101" i="2"/>
  <c r="A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A91" i="2"/>
  <c r="A74" i="2"/>
  <c r="H1" i="2"/>
  <c r="F1" i="2"/>
  <c r="E1" i="2"/>
  <c r="D1" i="2"/>
  <c r="C1" i="2"/>
  <c r="B1" i="2"/>
  <c r="A1" i="2"/>
  <c r="F111" i="2"/>
  <c r="H111" i="2"/>
  <c r="G111" i="2"/>
  <c r="B111" i="2"/>
  <c r="A111" i="2"/>
  <c r="F109" i="2"/>
  <c r="H109" i="2"/>
  <c r="G109" i="2"/>
  <c r="B109" i="2"/>
  <c r="A109" i="2"/>
  <c r="F107" i="2"/>
  <c r="H107" i="2"/>
  <c r="G107" i="2"/>
  <c r="B107" i="2"/>
  <c r="A107" i="2"/>
  <c r="F106" i="2"/>
  <c r="H106" i="2"/>
  <c r="G106" i="2"/>
  <c r="B106" i="2"/>
  <c r="A106" i="2"/>
  <c r="F104" i="2"/>
  <c r="H104" i="2"/>
  <c r="G104" i="2"/>
  <c r="B104" i="2"/>
  <c r="A104" i="2"/>
  <c r="F103" i="2"/>
  <c r="H103" i="2"/>
  <c r="G103" i="2"/>
  <c r="B103" i="2"/>
  <c r="A103" i="2"/>
  <c r="F102" i="2"/>
  <c r="H102" i="2"/>
  <c r="G102" i="2"/>
  <c r="B102" i="2"/>
  <c r="A102" i="2"/>
  <c r="F101" i="2"/>
  <c r="H101" i="2"/>
  <c r="G101" i="2"/>
  <c r="B101" i="2"/>
  <c r="A101" i="2"/>
  <c r="F99" i="2"/>
  <c r="H99" i="2"/>
  <c r="G99" i="2"/>
  <c r="B99" i="2"/>
  <c r="A99" i="2"/>
  <c r="F98" i="2"/>
  <c r="H98" i="2"/>
  <c r="G98" i="2"/>
  <c r="B98" i="2"/>
  <c r="A98" i="2"/>
  <c r="F97" i="2"/>
  <c r="H97" i="2"/>
  <c r="G97" i="2"/>
  <c r="B97" i="2"/>
  <c r="A97" i="2"/>
  <c r="F96" i="2"/>
  <c r="H96" i="2"/>
  <c r="G96" i="2"/>
  <c r="B96" i="2"/>
  <c r="A96" i="2"/>
  <c r="F95" i="2"/>
  <c r="H95" i="2"/>
  <c r="G95" i="2"/>
  <c r="B95" i="2"/>
  <c r="A95" i="2"/>
  <c r="F94" i="2"/>
  <c r="H94" i="2"/>
  <c r="G94" i="2"/>
  <c r="B94" i="2"/>
  <c r="A94" i="2"/>
  <c r="F93" i="2"/>
  <c r="H93" i="2"/>
  <c r="G93" i="2"/>
  <c r="B93" i="2"/>
  <c r="A93" i="2"/>
  <c r="F92" i="2"/>
  <c r="H92" i="2"/>
  <c r="G92" i="2"/>
  <c r="B92" i="2"/>
  <c r="A92" i="2"/>
  <c r="F90" i="2"/>
  <c r="H90" i="2"/>
  <c r="G90" i="2"/>
  <c r="D90" i="2"/>
  <c r="C90" i="2"/>
  <c r="B90" i="2"/>
  <c r="A90" i="2"/>
  <c r="F89" i="2"/>
  <c r="H89" i="2"/>
  <c r="G89" i="2"/>
  <c r="D89" i="2"/>
  <c r="C89" i="2"/>
  <c r="B89" i="2"/>
  <c r="A89" i="2"/>
  <c r="F88" i="2"/>
  <c r="H88" i="2"/>
  <c r="G88" i="2"/>
  <c r="D88" i="2"/>
  <c r="C88" i="2"/>
  <c r="B88" i="2"/>
  <c r="A88" i="2"/>
  <c r="F87" i="2"/>
  <c r="H87" i="2"/>
  <c r="G87" i="2"/>
  <c r="D87" i="2"/>
  <c r="C87" i="2"/>
  <c r="B87" i="2"/>
  <c r="A87" i="2"/>
  <c r="F86" i="2"/>
  <c r="H86" i="2"/>
  <c r="G86" i="2"/>
  <c r="D86" i="2"/>
  <c r="C86" i="2"/>
  <c r="B86" i="2"/>
  <c r="A86" i="2"/>
  <c r="F85" i="2"/>
  <c r="H85" i="2"/>
  <c r="G85" i="2"/>
  <c r="D85" i="2"/>
  <c r="C85" i="2"/>
  <c r="B85" i="2"/>
  <c r="A85" i="2"/>
  <c r="F84" i="2"/>
  <c r="H84" i="2"/>
  <c r="G84" i="2"/>
  <c r="D84" i="2"/>
  <c r="C84" i="2"/>
  <c r="B84" i="2"/>
  <c r="A84" i="2"/>
  <c r="F83" i="2"/>
  <c r="H83" i="2"/>
  <c r="G83" i="2"/>
  <c r="D83" i="2"/>
  <c r="C83" i="2"/>
  <c r="B83" i="2"/>
  <c r="A83" i="2"/>
  <c r="F82" i="2"/>
  <c r="H82" i="2"/>
  <c r="G82" i="2"/>
  <c r="D82" i="2"/>
  <c r="C82" i="2"/>
  <c r="B82" i="2"/>
  <c r="A82" i="2"/>
  <c r="F81" i="2"/>
  <c r="H81" i="2"/>
  <c r="G81" i="2"/>
  <c r="D81" i="2"/>
  <c r="C81" i="2"/>
  <c r="B81" i="2"/>
  <c r="A81" i="2"/>
  <c r="F80" i="2"/>
  <c r="H80" i="2"/>
  <c r="G80" i="2"/>
  <c r="D80" i="2"/>
  <c r="C80" i="2"/>
  <c r="B80" i="2"/>
  <c r="A80" i="2"/>
  <c r="F79" i="2"/>
  <c r="H79" i="2"/>
  <c r="G79" i="2"/>
  <c r="D79" i="2"/>
  <c r="C79" i="2"/>
  <c r="B79" i="2"/>
  <c r="A79" i="2"/>
  <c r="F78" i="2"/>
  <c r="H78" i="2"/>
  <c r="G78" i="2"/>
  <c r="D78" i="2"/>
  <c r="C78" i="2"/>
  <c r="B78" i="2"/>
  <c r="A78" i="2"/>
  <c r="F77" i="2"/>
  <c r="H77" i="2"/>
  <c r="G77" i="2"/>
  <c r="D77" i="2"/>
  <c r="C77" i="2"/>
  <c r="B77" i="2"/>
  <c r="A77" i="2"/>
  <c r="F76" i="2"/>
  <c r="H76" i="2"/>
  <c r="G76" i="2"/>
  <c r="D76" i="2"/>
  <c r="C76" i="2"/>
  <c r="B76" i="2"/>
  <c r="A76" i="2"/>
  <c r="F75" i="2"/>
  <c r="H75" i="2"/>
  <c r="G75" i="2"/>
  <c r="D75" i="2"/>
  <c r="C75" i="2"/>
  <c r="B75" i="2"/>
  <c r="A75" i="2"/>
  <c r="F73" i="2"/>
  <c r="H73" i="2"/>
  <c r="G73" i="2"/>
  <c r="D73" i="2"/>
  <c r="C73" i="2"/>
  <c r="B73" i="2"/>
  <c r="A73" i="2"/>
  <c r="F72" i="2"/>
  <c r="H72" i="2"/>
  <c r="G72" i="2"/>
  <c r="D72" i="2"/>
  <c r="C72" i="2"/>
  <c r="B72" i="2"/>
  <c r="A72" i="2"/>
  <c r="F71" i="2"/>
  <c r="H71" i="2"/>
  <c r="G71" i="2"/>
  <c r="D71" i="2"/>
  <c r="C71" i="2"/>
  <c r="B71" i="2"/>
  <c r="A71" i="2"/>
  <c r="F70" i="2"/>
  <c r="H70" i="2"/>
  <c r="G70" i="2"/>
  <c r="D70" i="2"/>
  <c r="C70" i="2"/>
  <c r="B70" i="2"/>
  <c r="A70" i="2"/>
  <c r="F69" i="2"/>
  <c r="H69" i="2"/>
  <c r="G69" i="2"/>
  <c r="D69" i="2"/>
  <c r="C69" i="2"/>
  <c r="B69" i="2"/>
  <c r="A69" i="2"/>
  <c r="F68" i="2"/>
  <c r="H68" i="2"/>
  <c r="G68" i="2"/>
  <c r="D68" i="2"/>
  <c r="C68" i="2"/>
  <c r="B68" i="2"/>
  <c r="A68" i="2"/>
  <c r="F67" i="2"/>
  <c r="H67" i="2"/>
  <c r="G67" i="2"/>
  <c r="D67" i="2"/>
  <c r="C67" i="2"/>
  <c r="B67" i="2"/>
  <c r="A67" i="2"/>
  <c r="F66" i="2"/>
  <c r="H66" i="2"/>
  <c r="G66" i="2"/>
  <c r="D66" i="2"/>
  <c r="C66" i="2"/>
  <c r="B66" i="2"/>
  <c r="A66" i="2"/>
  <c r="F65" i="2"/>
  <c r="H65" i="2"/>
  <c r="G65" i="2"/>
  <c r="D65" i="2"/>
  <c r="C65" i="2"/>
  <c r="B65" i="2"/>
  <c r="A65" i="2"/>
  <c r="F64" i="2"/>
  <c r="H64" i="2"/>
  <c r="G64" i="2"/>
  <c r="D64" i="2"/>
  <c r="C64" i="2"/>
  <c r="B64" i="2"/>
  <c r="A64" i="2"/>
  <c r="F63" i="2"/>
  <c r="H63" i="2"/>
  <c r="G63" i="2"/>
  <c r="D63" i="2"/>
  <c r="C63" i="2"/>
  <c r="B63" i="2"/>
  <c r="A63" i="2"/>
  <c r="F62" i="2"/>
  <c r="H62" i="2"/>
  <c r="G62" i="2"/>
  <c r="D62" i="2"/>
  <c r="C62" i="2"/>
  <c r="B62" i="2"/>
  <c r="A62" i="2"/>
  <c r="F61" i="2"/>
  <c r="H61" i="2"/>
  <c r="G61" i="2"/>
  <c r="D61" i="2"/>
  <c r="C61" i="2"/>
  <c r="B61" i="2"/>
  <c r="A61" i="2"/>
  <c r="F60" i="2"/>
  <c r="H60" i="2"/>
  <c r="G60" i="2"/>
  <c r="D60" i="2"/>
  <c r="C60" i="2"/>
  <c r="B60" i="2"/>
  <c r="A60" i="2"/>
  <c r="F59" i="2"/>
  <c r="H59" i="2"/>
  <c r="G59" i="2"/>
  <c r="D59" i="2"/>
  <c r="C59" i="2"/>
  <c r="B59" i="2"/>
  <c r="A59" i="2"/>
  <c r="F58" i="2"/>
  <c r="H58" i="2"/>
  <c r="G58" i="2"/>
  <c r="D58" i="2"/>
  <c r="C58" i="2"/>
  <c r="B58" i="2"/>
  <c r="A58" i="2"/>
  <c r="F57" i="2"/>
  <c r="H57" i="2"/>
  <c r="G57" i="2"/>
  <c r="D57" i="2"/>
  <c r="C57" i="2"/>
  <c r="B57" i="2"/>
  <c r="A57" i="2"/>
  <c r="F56" i="2"/>
  <c r="H56" i="2"/>
  <c r="G56" i="2"/>
  <c r="D56" i="2"/>
  <c r="C56" i="2"/>
  <c r="B56" i="2"/>
  <c r="A56" i="2"/>
  <c r="F55" i="2"/>
  <c r="H55" i="2"/>
  <c r="G55" i="2"/>
  <c r="D55" i="2"/>
  <c r="C55" i="2"/>
  <c r="B55" i="2"/>
  <c r="A55" i="2"/>
  <c r="F54" i="2"/>
  <c r="H54" i="2"/>
  <c r="G54" i="2"/>
  <c r="D54" i="2"/>
  <c r="C54" i="2"/>
  <c r="B54" i="2"/>
  <c r="A54" i="2"/>
  <c r="F53" i="2"/>
  <c r="H53" i="2"/>
  <c r="G53" i="2"/>
  <c r="D53" i="2"/>
  <c r="C53" i="2"/>
  <c r="B53" i="2"/>
  <c r="A53" i="2"/>
  <c r="F52" i="2"/>
  <c r="H52" i="2"/>
  <c r="G52" i="2"/>
  <c r="D52" i="2"/>
  <c r="C52" i="2"/>
  <c r="B52" i="2"/>
  <c r="A52" i="2"/>
  <c r="F51" i="2"/>
  <c r="H51" i="2"/>
  <c r="G51" i="2"/>
  <c r="D51" i="2"/>
  <c r="C51" i="2"/>
  <c r="B51" i="2"/>
  <c r="A51" i="2"/>
  <c r="F50" i="2"/>
  <c r="H50" i="2"/>
  <c r="G50" i="2"/>
  <c r="D50" i="2"/>
  <c r="C50" i="2"/>
  <c r="B50" i="2"/>
  <c r="A50" i="2"/>
  <c r="F49" i="2"/>
  <c r="H49" i="2"/>
  <c r="G49" i="2"/>
  <c r="D49" i="2"/>
  <c r="C49" i="2"/>
  <c r="B49" i="2"/>
  <c r="A49" i="2"/>
  <c r="F48" i="2"/>
  <c r="H48" i="2"/>
  <c r="G48" i="2"/>
  <c r="D48" i="2"/>
  <c r="C48" i="2"/>
  <c r="B48" i="2"/>
  <c r="A48" i="2"/>
  <c r="F47" i="2"/>
  <c r="H47" i="2"/>
  <c r="G47" i="2"/>
  <c r="D47" i="2"/>
  <c r="C47" i="2"/>
  <c r="B47" i="2"/>
  <c r="A47" i="2"/>
  <c r="F46" i="2"/>
  <c r="H46" i="2"/>
  <c r="G46" i="2"/>
  <c r="D46" i="2"/>
  <c r="C46" i="2"/>
  <c r="B46" i="2"/>
  <c r="A46" i="2"/>
  <c r="F45" i="2"/>
  <c r="H45" i="2"/>
  <c r="G45" i="2"/>
  <c r="D45" i="2"/>
  <c r="C45" i="2"/>
  <c r="B45" i="2"/>
  <c r="A45" i="2"/>
  <c r="F44" i="2"/>
  <c r="H44" i="2"/>
  <c r="G44" i="2"/>
  <c r="D44" i="2"/>
  <c r="C44" i="2"/>
  <c r="B44" i="2"/>
  <c r="A44" i="2"/>
  <c r="F43" i="2"/>
  <c r="H43" i="2"/>
  <c r="G43" i="2"/>
  <c r="D43" i="2"/>
  <c r="C43" i="2"/>
  <c r="B43" i="2"/>
  <c r="A43" i="2"/>
  <c r="F42" i="2"/>
  <c r="H42" i="2"/>
  <c r="G42" i="2"/>
  <c r="D42" i="2"/>
  <c r="C42" i="2"/>
  <c r="B42" i="2"/>
  <c r="A42" i="2"/>
  <c r="F41" i="2"/>
  <c r="H41" i="2"/>
  <c r="G41" i="2"/>
  <c r="D41" i="2"/>
  <c r="C41" i="2"/>
  <c r="B41" i="2"/>
  <c r="A41" i="2"/>
  <c r="F40" i="2"/>
  <c r="H40" i="2"/>
  <c r="G40" i="2"/>
  <c r="D40" i="2"/>
  <c r="C40" i="2"/>
  <c r="B40" i="2"/>
  <c r="A40" i="2"/>
  <c r="F39" i="2"/>
  <c r="H39" i="2"/>
  <c r="G39" i="2"/>
  <c r="D39" i="2"/>
  <c r="C39" i="2"/>
  <c r="B39" i="2"/>
  <c r="A39" i="2"/>
  <c r="F38" i="2"/>
  <c r="H38" i="2"/>
  <c r="G38" i="2"/>
  <c r="D38" i="2"/>
  <c r="C38" i="2"/>
  <c r="B38" i="2"/>
  <c r="A38" i="2"/>
  <c r="F37" i="2"/>
  <c r="H37" i="2"/>
  <c r="G37" i="2"/>
  <c r="D37" i="2"/>
  <c r="C37" i="2"/>
  <c r="B37" i="2"/>
  <c r="A37" i="2"/>
  <c r="F36" i="2"/>
  <c r="H36" i="2"/>
  <c r="G36" i="2"/>
  <c r="D36" i="2"/>
  <c r="C36" i="2"/>
  <c r="B36" i="2"/>
  <c r="A36" i="2"/>
  <c r="F35" i="2"/>
  <c r="H35" i="2"/>
  <c r="G35" i="2"/>
  <c r="D35" i="2"/>
  <c r="C35" i="2"/>
  <c r="B35" i="2"/>
  <c r="A35" i="2"/>
  <c r="F34" i="2"/>
  <c r="H34" i="2"/>
  <c r="G34" i="2"/>
  <c r="D34" i="2"/>
  <c r="C34" i="2"/>
  <c r="B34" i="2"/>
  <c r="A34" i="2"/>
  <c r="F33" i="2"/>
  <c r="H33" i="2"/>
  <c r="G33" i="2"/>
  <c r="D33" i="2"/>
  <c r="C33" i="2"/>
  <c r="B33" i="2"/>
  <c r="A33" i="2"/>
  <c r="F32" i="2"/>
  <c r="H32" i="2"/>
  <c r="G32" i="2"/>
  <c r="D32" i="2"/>
  <c r="C32" i="2"/>
  <c r="B32" i="2"/>
  <c r="A32" i="2"/>
  <c r="F31" i="2"/>
  <c r="H31" i="2"/>
  <c r="G31" i="2"/>
  <c r="D31" i="2"/>
  <c r="C31" i="2"/>
  <c r="B31" i="2"/>
  <c r="A31" i="2"/>
  <c r="F30" i="2"/>
  <c r="H30" i="2"/>
  <c r="G30" i="2"/>
  <c r="D30" i="2"/>
  <c r="C30" i="2"/>
  <c r="B30" i="2"/>
  <c r="A30" i="2"/>
  <c r="F29" i="2"/>
  <c r="H29" i="2"/>
  <c r="G29" i="2"/>
  <c r="D29" i="2"/>
  <c r="C29" i="2"/>
  <c r="B29" i="2"/>
  <c r="A29" i="2"/>
  <c r="F28" i="2"/>
  <c r="H28" i="2"/>
  <c r="G28" i="2"/>
  <c r="D28" i="2"/>
  <c r="C28" i="2"/>
  <c r="B28" i="2"/>
  <c r="A28" i="2"/>
  <c r="F27" i="2"/>
  <c r="H27" i="2"/>
  <c r="G27" i="2"/>
  <c r="D27" i="2"/>
  <c r="C27" i="2"/>
  <c r="B27" i="2"/>
  <c r="A27" i="2"/>
  <c r="F26" i="2"/>
  <c r="H26" i="2"/>
  <c r="G26" i="2"/>
  <c r="D26" i="2"/>
  <c r="C26" i="2"/>
  <c r="B26" i="2"/>
  <c r="A26" i="2"/>
  <c r="F25" i="2"/>
  <c r="H25" i="2"/>
  <c r="G25" i="2"/>
  <c r="D25" i="2"/>
  <c r="C25" i="2"/>
  <c r="B25" i="2"/>
  <c r="A25" i="2"/>
  <c r="F24" i="2"/>
  <c r="H24" i="2"/>
  <c r="G24" i="2"/>
  <c r="D24" i="2"/>
  <c r="C24" i="2"/>
  <c r="B24" i="2"/>
  <c r="A24" i="2"/>
  <c r="F23" i="2"/>
  <c r="H23" i="2"/>
  <c r="G23" i="2"/>
  <c r="D23" i="2"/>
  <c r="C23" i="2"/>
  <c r="B23" i="2"/>
  <c r="A23" i="2"/>
  <c r="F22" i="2"/>
  <c r="H22" i="2"/>
  <c r="G22" i="2"/>
  <c r="D22" i="2"/>
  <c r="C22" i="2"/>
  <c r="B22" i="2"/>
  <c r="A22" i="2"/>
  <c r="F21" i="2"/>
  <c r="H21" i="2"/>
  <c r="G21" i="2"/>
  <c r="D21" i="2"/>
  <c r="C21" i="2"/>
  <c r="B21" i="2"/>
  <c r="A21" i="2"/>
  <c r="F20" i="2"/>
  <c r="H20" i="2"/>
  <c r="G20" i="2"/>
  <c r="D20" i="2"/>
  <c r="C20" i="2"/>
  <c r="B20" i="2"/>
  <c r="A20" i="2"/>
  <c r="F19" i="2"/>
  <c r="H19" i="2"/>
  <c r="G19" i="2"/>
  <c r="D19" i="2"/>
  <c r="C19" i="2"/>
  <c r="B19" i="2"/>
  <c r="A19" i="2"/>
  <c r="F18" i="2"/>
  <c r="H18" i="2"/>
  <c r="G18" i="2"/>
  <c r="D18" i="2"/>
  <c r="C18" i="2"/>
  <c r="B18" i="2"/>
  <c r="A18" i="2"/>
  <c r="F17" i="2"/>
  <c r="H17" i="2"/>
  <c r="G17" i="2"/>
  <c r="D17" i="2"/>
  <c r="C17" i="2"/>
  <c r="B17" i="2"/>
  <c r="A17" i="2"/>
  <c r="F16" i="2"/>
  <c r="H16" i="2"/>
  <c r="G16" i="2"/>
  <c r="D16" i="2"/>
  <c r="C16" i="2"/>
  <c r="B16" i="2"/>
  <c r="A16" i="2"/>
  <c r="F15" i="2"/>
  <c r="H15" i="2"/>
  <c r="G15" i="2"/>
  <c r="D15" i="2"/>
  <c r="C15" i="2"/>
  <c r="B15" i="2"/>
  <c r="A15" i="2"/>
  <c r="F14" i="2"/>
  <c r="H14" i="2"/>
  <c r="G14" i="2"/>
  <c r="D14" i="2"/>
  <c r="C14" i="2"/>
  <c r="B14" i="2"/>
  <c r="A14" i="2"/>
  <c r="F13" i="2"/>
  <c r="H13" i="2"/>
  <c r="G13" i="2"/>
  <c r="D13" i="2"/>
  <c r="C13" i="2"/>
  <c r="B13" i="2"/>
  <c r="A13" i="2"/>
  <c r="F12" i="2"/>
  <c r="H12" i="2"/>
  <c r="G12" i="2"/>
  <c r="D12" i="2"/>
  <c r="C12" i="2"/>
  <c r="B12" i="2"/>
  <c r="A12" i="2"/>
  <c r="F11" i="2"/>
  <c r="H11" i="2"/>
  <c r="G11" i="2"/>
  <c r="D11" i="2"/>
  <c r="C11" i="2"/>
  <c r="B11" i="2"/>
  <c r="A11" i="2"/>
  <c r="F10" i="2"/>
  <c r="H10" i="2"/>
  <c r="G10" i="2"/>
  <c r="D10" i="2"/>
  <c r="C10" i="2"/>
  <c r="B10" i="2"/>
  <c r="A10" i="2"/>
  <c r="F9" i="2"/>
  <c r="H9" i="2"/>
  <c r="G9" i="2"/>
  <c r="D9" i="2"/>
  <c r="C9" i="2"/>
  <c r="B9" i="2"/>
  <c r="A9" i="2"/>
  <c r="F8" i="2"/>
  <c r="H8" i="2"/>
  <c r="G8" i="2"/>
  <c r="D8" i="2"/>
  <c r="C8" i="2"/>
  <c r="B8" i="2"/>
  <c r="A8" i="2"/>
  <c r="F7" i="2"/>
  <c r="H7" i="2"/>
  <c r="G7" i="2"/>
  <c r="D7" i="2"/>
  <c r="C7" i="2"/>
  <c r="B7" i="2"/>
  <c r="A7" i="2"/>
  <c r="F6" i="2"/>
  <c r="H6" i="2"/>
  <c r="G6" i="2"/>
  <c r="D6" i="2"/>
  <c r="C6" i="2"/>
  <c r="B6" i="2"/>
  <c r="A6" i="2"/>
  <c r="F5" i="2"/>
  <c r="H5" i="2"/>
  <c r="G5" i="2"/>
  <c r="D5" i="2"/>
  <c r="C5" i="2"/>
  <c r="B5" i="2"/>
  <c r="A5" i="2"/>
  <c r="F4" i="2"/>
  <c r="H4" i="2"/>
  <c r="G4" i="2"/>
  <c r="D4" i="2"/>
  <c r="C4" i="2"/>
  <c r="B4" i="2"/>
  <c r="A4" i="2"/>
  <c r="F3" i="2"/>
  <c r="H3" i="2"/>
  <c r="G3" i="2"/>
  <c r="D3" i="2"/>
  <c r="C3" i="2"/>
  <c r="B3" i="2"/>
  <c r="A3" i="2"/>
  <c r="F2" i="2"/>
  <c r="H2" i="2"/>
  <c r="G2" i="2"/>
  <c r="D2" i="2"/>
  <c r="C2" i="2"/>
  <c r="B2" i="2"/>
  <c r="A2" i="2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\,\ dd/mm/yyyy\ "/>
    <numFmt numFmtId="165" formatCode="h:mm;@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color theme="4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ck">
        <color theme="0" tint="-0.24994659260841701"/>
      </left>
      <right style="thin">
        <color theme="0" tint="-0.14996795556505021"/>
      </right>
      <top style="thick">
        <color theme="0" tint="-0.24994659260841701"/>
      </top>
      <bottom style="medium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ck">
        <color theme="0" tint="-0.24994659260841701"/>
      </top>
      <bottom style="medium">
        <color theme="0" tint="-0.14996795556505021"/>
      </bottom>
      <diagonal/>
    </border>
    <border>
      <left style="thin">
        <color theme="0" tint="-0.14996795556505021"/>
      </left>
      <right style="thin">
        <color theme="0" tint="-0.14993743705557422"/>
      </right>
      <top style="thick">
        <color theme="0" tint="-0.24994659260841701"/>
      </top>
      <bottom style="medium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ck">
        <color theme="0" tint="-0.24994659260841701"/>
      </top>
      <bottom style="medium">
        <color theme="0" tint="-0.14996795556505021"/>
      </bottom>
      <diagonal/>
    </border>
    <border>
      <left style="thick">
        <color theme="0" tint="-0.2499465926084170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0" tint="-0.2499465926084170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theme="0" tint="-0.2499465926084170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0" tint="-0.24994659260841701"/>
      </left>
      <right style="thin">
        <color theme="0" tint="-0.14996795556505021"/>
      </right>
      <top/>
      <bottom style="thick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ck">
        <color theme="0" tint="-0.2499465926084170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right" indent="2"/>
    </xf>
    <xf numFmtId="165" fontId="0" fillId="0" borderId="6" xfId="0" applyNumberFormat="1" applyBorder="1" applyAlignment="1">
      <alignment horizontal="right" indent="2"/>
    </xf>
    <xf numFmtId="0" fontId="0" fillId="2" borderId="6" xfId="0" applyFill="1" applyBorder="1" applyAlignment="1">
      <alignment horizontal="left" indent="1"/>
    </xf>
    <xf numFmtId="0" fontId="0" fillId="0" borderId="6" xfId="0" applyBorder="1" applyAlignment="1">
      <alignment horizontal="right" indent="2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right" indent="2"/>
    </xf>
    <xf numFmtId="0" fontId="3" fillId="3" borderId="8" xfId="0" applyFont="1" applyFill="1" applyBorder="1" applyAlignment="1">
      <alignment horizontal="left" indent="1"/>
    </xf>
    <xf numFmtId="165" fontId="0" fillId="3" borderId="9" xfId="0" applyNumberFormat="1" applyFill="1" applyBorder="1" applyAlignment="1">
      <alignment horizontal="left" indent="1"/>
    </xf>
    <xf numFmtId="0" fontId="0" fillId="3" borderId="9" xfId="0" applyFill="1" applyBorder="1" applyAlignment="1">
      <alignment horizontal="left" indent="1"/>
    </xf>
    <xf numFmtId="0" fontId="1" fillId="3" borderId="9" xfId="0" applyFont="1" applyFill="1" applyBorder="1"/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0" fillId="2" borderId="6" xfId="0" quotePrefix="1" applyFill="1" applyBorder="1" applyAlignment="1">
      <alignment horizontal="left" indent="1"/>
    </xf>
    <xf numFmtId="164" fontId="1" fillId="0" borderId="11" xfId="0" applyNumberFormat="1" applyFont="1" applyBorder="1" applyAlignment="1">
      <alignment horizontal="right" indent="2"/>
    </xf>
    <xf numFmtId="165" fontId="0" fillId="0" borderId="7" xfId="0" applyNumberFormat="1" applyBorder="1" applyAlignment="1">
      <alignment horizontal="right" indent="2"/>
    </xf>
    <xf numFmtId="0" fontId="0" fillId="2" borderId="7" xfId="0" quotePrefix="1" applyFill="1" applyBorder="1" applyAlignment="1">
      <alignment horizontal="left" indent="1"/>
    </xf>
    <xf numFmtId="164" fontId="1" fillId="0" borderId="12" xfId="0" applyNumberFormat="1" applyFont="1" applyBorder="1" applyAlignment="1">
      <alignment horizontal="right" indent="2"/>
    </xf>
    <xf numFmtId="165" fontId="0" fillId="0" borderId="13" xfId="0" applyNumberFormat="1" applyBorder="1" applyAlignment="1">
      <alignment horizontal="right" indent="2"/>
    </xf>
    <xf numFmtId="0" fontId="0" fillId="2" borderId="13" xfId="0" quotePrefix="1" applyFill="1" applyBorder="1" applyAlignment="1">
      <alignment horizontal="left" indent="1"/>
    </xf>
    <xf numFmtId="0" fontId="0" fillId="0" borderId="14" xfId="0" applyBorder="1" applyAlignment="1">
      <alignment horizontal="right" indent="2"/>
    </xf>
    <xf numFmtId="0" fontId="0" fillId="0" borderId="13" xfId="0" applyBorder="1" applyAlignment="1">
      <alignment horizontal="center"/>
    </xf>
  </cellXfs>
  <cellStyles count="1">
    <cellStyle name="Normal" xfId="0" builtinId="0"/>
  </cellStyles>
  <dxfs count="5">
    <dxf>
      <fill>
        <patternFill>
          <bgColor rgb="FFB4DC78"/>
        </patternFill>
      </fill>
    </dxf>
    <dxf>
      <fill>
        <patternFill>
          <bgColor rgb="FFFFAF23"/>
        </patternFill>
      </fill>
    </dxf>
    <dxf>
      <fill>
        <patternFill>
          <bgColor rgb="FF3CD2FF"/>
        </patternFill>
      </fill>
    </dxf>
    <dxf>
      <fill>
        <patternFill>
          <bgColor rgb="FFD9AADA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Users/mcorn/Downloads/WCup_2026_4.0_en.xlsx" TargetMode="External"/><Relationship Id="rId2" Type="http://schemas.openxmlformats.org/officeDocument/2006/relationships/externalLinkPath" Target="file:///C:\Users\mcorn\Downloads\WCup_2026_4.0_en.xlsx" TargetMode="External"/><Relationship Id="rId1" Type="http://schemas.openxmlformats.org/officeDocument/2006/relationships/externalLinkPath" Target="/Users/mcorn/Downloads/WCup_2026_4.0_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orld Cup"/>
      <sheetName val="DailySchedule"/>
      <sheetName val="FairPlay"/>
      <sheetName val="HeadToHeadComp"/>
      <sheetName val="Predictions_1"/>
      <sheetName val="Predictions_Ranking_1"/>
      <sheetName val="Predictions_2"/>
      <sheetName val="Predictions_Ranking_2"/>
      <sheetName val="PrSettings"/>
      <sheetName val="Language"/>
      <sheetName val="TimeZone"/>
      <sheetName val="Help"/>
      <sheetName val="Groups"/>
      <sheetName val="Matches"/>
      <sheetName val="AssignThird"/>
      <sheetName val="ThirdPlaced"/>
      <sheetName val="Distinctness"/>
      <sheetName val="CalcA"/>
      <sheetName val="CalcB"/>
      <sheetName val="CalcC"/>
      <sheetName val="CalcD"/>
      <sheetName val="CalcE"/>
      <sheetName val="CalcF"/>
      <sheetName val="CalcG"/>
      <sheetName val="CalcH"/>
      <sheetName val="CalcI"/>
      <sheetName val="CalcJ"/>
      <sheetName val="CalcK"/>
      <sheetName val="CalcL"/>
    </sheetNames>
    <sheetDataSet>
      <sheetData sheetId="0">
        <row r="60">
          <cell r="B60" t="str">
            <v/>
          </cell>
          <cell r="C60" t="str">
            <v/>
          </cell>
          <cell r="E60" t="str">
            <v/>
          </cell>
          <cell r="F60" t="str">
            <v/>
          </cell>
          <cell r="H60" t="str">
            <v/>
          </cell>
          <cell r="I60" t="str">
            <v/>
          </cell>
          <cell r="K60" t="str">
            <v/>
          </cell>
          <cell r="L60" t="str">
            <v/>
          </cell>
          <cell r="N60" t="str">
            <v/>
          </cell>
          <cell r="O60" t="str">
            <v/>
          </cell>
          <cell r="Q60" t="str">
            <v/>
          </cell>
          <cell r="R60" t="str">
            <v/>
          </cell>
          <cell r="T60" t="str">
            <v/>
          </cell>
          <cell r="U60" t="str">
            <v/>
          </cell>
          <cell r="W60" t="str">
            <v/>
          </cell>
          <cell r="X60" t="str">
            <v/>
          </cell>
        </row>
        <row r="70">
          <cell r="C70" t="str">
            <v/>
          </cell>
          <cell r="E70" t="str">
            <v/>
          </cell>
          <cell r="I70" t="str">
            <v/>
          </cell>
          <cell r="K70" t="str">
            <v/>
          </cell>
          <cell r="O70" t="str">
            <v/>
          </cell>
          <cell r="Q70" t="str">
            <v/>
          </cell>
          <cell r="U70" t="str">
            <v/>
          </cell>
          <cell r="W70" t="str">
            <v/>
          </cell>
        </row>
        <row r="80">
          <cell r="F80" t="str">
            <v/>
          </cell>
          <cell r="H80" t="str">
            <v/>
          </cell>
          <cell r="R80" t="str">
            <v/>
          </cell>
          <cell r="T80" t="str">
            <v/>
          </cell>
        </row>
        <row r="88">
          <cell r="L88" t="str">
            <v/>
          </cell>
          <cell r="N88" t="str">
            <v/>
          </cell>
        </row>
        <row r="98">
          <cell r="L98" t="str">
            <v/>
          </cell>
          <cell r="N98" t="str">
            <v/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66">
          <cell r="E166" t="str">
            <v>Third place</v>
          </cell>
        </row>
        <row r="167">
          <cell r="E167" t="str">
            <v>Final</v>
          </cell>
        </row>
        <row r="179">
          <cell r="E179" t="str">
            <v>Venue</v>
          </cell>
        </row>
        <row r="245">
          <cell r="E245" t="str">
            <v>Match No.</v>
          </cell>
        </row>
        <row r="246">
          <cell r="E246" t="str">
            <v>Teams</v>
          </cell>
        </row>
        <row r="247">
          <cell r="E247" t="str">
            <v>Time</v>
          </cell>
        </row>
        <row r="248">
          <cell r="E248" t="str">
            <v>Team 1</v>
          </cell>
        </row>
        <row r="249">
          <cell r="E249" t="str">
            <v>Team 2</v>
          </cell>
        </row>
        <row r="250">
          <cell r="E250" t="str">
            <v>Round of 32</v>
          </cell>
        </row>
        <row r="251">
          <cell r="E251" t="str">
            <v>Round of 16</v>
          </cell>
        </row>
        <row r="252">
          <cell r="E252" t="str">
            <v>Quarter final</v>
          </cell>
        </row>
        <row r="253">
          <cell r="E253" t="str">
            <v>Semi-Final</v>
          </cell>
        </row>
        <row r="254">
          <cell r="E254" t="str">
            <v>Date</v>
          </cell>
        </row>
      </sheetData>
      <sheetData sheetId="10"/>
      <sheetData sheetId="11"/>
      <sheetData sheetId="12"/>
      <sheetData sheetId="13">
        <row r="4">
          <cell r="B4">
            <v>1</v>
          </cell>
          <cell r="C4" t="str">
            <v>A1</v>
          </cell>
          <cell r="D4" t="str">
            <v>A2</v>
          </cell>
          <cell r="E4">
            <v>46184.625</v>
          </cell>
          <cell r="F4">
            <v>46184.875</v>
          </cell>
          <cell r="G4">
            <v>14</v>
          </cell>
          <cell r="H4" t="str">
            <v>Mexico City</v>
          </cell>
          <cell r="I4" t="str">
            <v>Mexico</v>
          </cell>
          <cell r="J4" t="str">
            <v>South Africa</v>
          </cell>
        </row>
        <row r="5">
          <cell r="B5">
            <v>2</v>
          </cell>
          <cell r="C5" t="str">
            <v>A3</v>
          </cell>
          <cell r="D5" t="str">
            <v>A4</v>
          </cell>
          <cell r="E5">
            <v>46184.916666666664</v>
          </cell>
          <cell r="F5">
            <v>46185.166666666664</v>
          </cell>
          <cell r="G5">
            <v>15</v>
          </cell>
          <cell r="H5" t="str">
            <v>Guadalajara</v>
          </cell>
          <cell r="I5" t="str">
            <v>Rep. of Korea</v>
          </cell>
          <cell r="J5" t="str">
            <v>Play-Off D</v>
          </cell>
        </row>
        <row r="6">
          <cell r="B6">
            <v>3</v>
          </cell>
          <cell r="C6" t="str">
            <v>B1</v>
          </cell>
          <cell r="D6" t="str">
            <v>B2</v>
          </cell>
          <cell r="E6">
            <v>46185.625</v>
          </cell>
          <cell r="F6">
            <v>46185.875</v>
          </cell>
          <cell r="G6">
            <v>2</v>
          </cell>
          <cell r="H6" t="str">
            <v>Toronto</v>
          </cell>
          <cell r="I6" t="str">
            <v>Canada</v>
          </cell>
          <cell r="J6" t="str">
            <v>Play-Off A</v>
          </cell>
        </row>
        <row r="7">
          <cell r="B7">
            <v>4</v>
          </cell>
          <cell r="C7" t="str">
            <v>D1</v>
          </cell>
          <cell r="D7" t="str">
            <v>D2</v>
          </cell>
          <cell r="E7">
            <v>46185.875</v>
          </cell>
          <cell r="F7">
            <v>46186.125</v>
          </cell>
          <cell r="G7">
            <v>8</v>
          </cell>
          <cell r="H7" t="str">
            <v>Los Angeles</v>
          </cell>
          <cell r="I7" t="str">
            <v>USA</v>
          </cell>
          <cell r="J7" t="str">
            <v>Paraguay</v>
          </cell>
        </row>
        <row r="8">
          <cell r="B8">
            <v>5</v>
          </cell>
          <cell r="C8" t="str">
            <v>C3</v>
          </cell>
          <cell r="D8" t="str">
            <v>C4</v>
          </cell>
          <cell r="E8">
            <v>46186.875</v>
          </cell>
          <cell r="F8">
            <v>46187.125</v>
          </cell>
          <cell r="G8">
            <v>12</v>
          </cell>
          <cell r="H8" t="str">
            <v>Boston</v>
          </cell>
          <cell r="I8" t="str">
            <v>Haiti</v>
          </cell>
          <cell r="J8" t="str">
            <v>Scotland</v>
          </cell>
        </row>
        <row r="9">
          <cell r="B9">
            <v>6</v>
          </cell>
          <cell r="C9" t="str">
            <v>D3</v>
          </cell>
          <cell r="D9" t="str">
            <v>D4</v>
          </cell>
          <cell r="E9">
            <v>46187</v>
          </cell>
          <cell r="F9">
            <v>46187.25</v>
          </cell>
          <cell r="G9">
            <v>1</v>
          </cell>
          <cell r="H9" t="str">
            <v>Vancouver</v>
          </cell>
          <cell r="I9" t="str">
            <v>Australia</v>
          </cell>
          <cell r="J9" t="str">
            <v>Play-Off C</v>
          </cell>
        </row>
        <row r="10">
          <cell r="B10">
            <v>7</v>
          </cell>
          <cell r="C10" t="str">
            <v>C1</v>
          </cell>
          <cell r="D10" t="str">
            <v>C2</v>
          </cell>
          <cell r="E10">
            <v>46186.75</v>
          </cell>
          <cell r="F10">
            <v>46187</v>
          </cell>
          <cell r="G10">
            <v>3</v>
          </cell>
          <cell r="H10" t="str">
            <v>New York/New Jersey</v>
          </cell>
          <cell r="I10" t="str">
            <v>Brazil</v>
          </cell>
          <cell r="J10" t="str">
            <v>Morocco</v>
          </cell>
        </row>
        <row r="11">
          <cell r="B11">
            <v>8</v>
          </cell>
          <cell r="C11" t="str">
            <v>B3</v>
          </cell>
          <cell r="D11" t="str">
            <v>B4</v>
          </cell>
          <cell r="E11">
            <v>46186.625</v>
          </cell>
          <cell r="F11">
            <v>46186.875</v>
          </cell>
          <cell r="G11">
            <v>11</v>
          </cell>
          <cell r="H11" t="str">
            <v>San Francisco Bay Area</v>
          </cell>
          <cell r="I11" t="str">
            <v>Qatar</v>
          </cell>
          <cell r="J11" t="str">
            <v>Switzerland</v>
          </cell>
        </row>
        <row r="12">
          <cell r="B12">
            <v>9</v>
          </cell>
          <cell r="C12" t="str">
            <v>E3</v>
          </cell>
          <cell r="D12" t="str">
            <v>E4</v>
          </cell>
          <cell r="E12">
            <v>46187.791666666664</v>
          </cell>
          <cell r="F12">
            <v>46188.041666666664</v>
          </cell>
          <cell r="G12">
            <v>9</v>
          </cell>
          <cell r="H12" t="str">
            <v>Philadelphia</v>
          </cell>
          <cell r="I12" t="str">
            <v>Ivory Coast</v>
          </cell>
          <cell r="J12" t="str">
            <v>Ecuador</v>
          </cell>
        </row>
        <row r="13">
          <cell r="B13">
            <v>10</v>
          </cell>
          <cell r="C13" t="str">
            <v>E1</v>
          </cell>
          <cell r="D13" t="str">
            <v>E2</v>
          </cell>
          <cell r="E13">
            <v>46187.541666666664</v>
          </cell>
          <cell r="F13">
            <v>46187.791666666664</v>
          </cell>
          <cell r="G13">
            <v>6</v>
          </cell>
          <cell r="H13" t="str">
            <v>Houston</v>
          </cell>
          <cell r="I13" t="str">
            <v>Germany</v>
          </cell>
          <cell r="J13" t="str">
            <v>Curaçao</v>
          </cell>
        </row>
        <row r="14">
          <cell r="B14">
            <v>11</v>
          </cell>
          <cell r="C14" t="str">
            <v>F1</v>
          </cell>
          <cell r="D14" t="str">
            <v>F2</v>
          </cell>
          <cell r="E14">
            <v>46187.666666666664</v>
          </cell>
          <cell r="F14">
            <v>46187.916666666664</v>
          </cell>
          <cell r="G14">
            <v>5</v>
          </cell>
          <cell r="H14" t="str">
            <v>Dallas</v>
          </cell>
          <cell r="I14" t="str">
            <v>Netherlands</v>
          </cell>
          <cell r="J14" t="str">
            <v>Japan</v>
          </cell>
        </row>
        <row r="15">
          <cell r="B15">
            <v>12</v>
          </cell>
          <cell r="C15" t="str">
            <v>F3</v>
          </cell>
          <cell r="D15" t="str">
            <v>F4</v>
          </cell>
          <cell r="E15">
            <v>46187.916666666664</v>
          </cell>
          <cell r="F15">
            <v>46188.166666666664</v>
          </cell>
          <cell r="G15">
            <v>16</v>
          </cell>
          <cell r="H15" t="str">
            <v>Monterrey</v>
          </cell>
          <cell r="I15" t="str">
            <v>Play-Off B</v>
          </cell>
          <cell r="J15" t="str">
            <v>Tunisia</v>
          </cell>
        </row>
        <row r="16">
          <cell r="B16">
            <v>13</v>
          </cell>
          <cell r="C16" t="str">
            <v>H3</v>
          </cell>
          <cell r="D16" t="str">
            <v>H4</v>
          </cell>
          <cell r="E16">
            <v>46188.75</v>
          </cell>
          <cell r="F16">
            <v>46189</v>
          </cell>
          <cell r="G16">
            <v>13</v>
          </cell>
          <cell r="H16" t="str">
            <v>Miami</v>
          </cell>
          <cell r="I16" t="str">
            <v>Saudi Arabia</v>
          </cell>
          <cell r="J16" t="str">
            <v>Uruguay</v>
          </cell>
        </row>
        <row r="17">
          <cell r="B17">
            <v>14</v>
          </cell>
          <cell r="C17" t="str">
            <v>H1</v>
          </cell>
          <cell r="D17" t="str">
            <v>H2</v>
          </cell>
          <cell r="E17">
            <v>46188.5</v>
          </cell>
          <cell r="F17">
            <v>46188.75</v>
          </cell>
          <cell r="G17">
            <v>7</v>
          </cell>
          <cell r="H17" t="str">
            <v>Atlanta</v>
          </cell>
          <cell r="I17" t="str">
            <v>Spain</v>
          </cell>
          <cell r="J17" t="str">
            <v>Cape Verde</v>
          </cell>
        </row>
        <row r="18">
          <cell r="B18">
            <v>15</v>
          </cell>
          <cell r="C18" t="str">
            <v>G3</v>
          </cell>
          <cell r="D18" t="str">
            <v>G4</v>
          </cell>
          <cell r="E18">
            <v>46188.875</v>
          </cell>
          <cell r="F18">
            <v>46189.125</v>
          </cell>
          <cell r="G18">
            <v>8</v>
          </cell>
          <cell r="H18" t="str">
            <v>Los Angeles</v>
          </cell>
          <cell r="I18" t="str">
            <v>IR Iran</v>
          </cell>
          <cell r="J18" t="str">
            <v>New Zealand</v>
          </cell>
        </row>
        <row r="19">
          <cell r="B19">
            <v>16</v>
          </cell>
          <cell r="C19" t="str">
            <v>G1</v>
          </cell>
          <cell r="D19" t="str">
            <v>G2</v>
          </cell>
          <cell r="E19">
            <v>46188.625</v>
          </cell>
          <cell r="F19">
            <v>46188.875</v>
          </cell>
          <cell r="G19">
            <v>10</v>
          </cell>
          <cell r="H19" t="str">
            <v>Seattle</v>
          </cell>
          <cell r="I19" t="str">
            <v>Belgium</v>
          </cell>
          <cell r="J19" t="str">
            <v>Egypt</v>
          </cell>
        </row>
        <row r="20">
          <cell r="B20">
            <v>17</v>
          </cell>
          <cell r="C20" t="str">
            <v>I1</v>
          </cell>
          <cell r="D20" t="str">
            <v>I2</v>
          </cell>
          <cell r="E20">
            <v>46189.625</v>
          </cell>
          <cell r="F20">
            <v>46189.875</v>
          </cell>
          <cell r="G20">
            <v>3</v>
          </cell>
          <cell r="H20" t="str">
            <v>New York/New Jersey</v>
          </cell>
          <cell r="I20" t="str">
            <v>France</v>
          </cell>
          <cell r="J20" t="str">
            <v>Senegal</v>
          </cell>
        </row>
        <row r="21">
          <cell r="B21">
            <v>18</v>
          </cell>
          <cell r="C21" t="str">
            <v>I3</v>
          </cell>
          <cell r="D21" t="str">
            <v>I4</v>
          </cell>
          <cell r="E21">
            <v>46189.75</v>
          </cell>
          <cell r="F21">
            <v>46190</v>
          </cell>
          <cell r="G21">
            <v>12</v>
          </cell>
          <cell r="H21" t="str">
            <v>Boston</v>
          </cell>
          <cell r="I21" t="str">
            <v>Play-Off 2</v>
          </cell>
          <cell r="J21" t="str">
            <v>Norway</v>
          </cell>
        </row>
        <row r="22">
          <cell r="B22">
            <v>19</v>
          </cell>
          <cell r="C22" t="str">
            <v>J1</v>
          </cell>
          <cell r="D22" t="str">
            <v>J2</v>
          </cell>
          <cell r="E22">
            <v>46189.875</v>
          </cell>
          <cell r="F22">
            <v>46190.125</v>
          </cell>
          <cell r="G22">
            <v>4</v>
          </cell>
          <cell r="H22" t="str">
            <v>Kansas City</v>
          </cell>
          <cell r="I22" t="str">
            <v>Argentina</v>
          </cell>
          <cell r="J22" t="str">
            <v>Algeria</v>
          </cell>
        </row>
        <row r="23">
          <cell r="B23">
            <v>20</v>
          </cell>
          <cell r="C23" t="str">
            <v>J3</v>
          </cell>
          <cell r="D23" t="str">
            <v>J4</v>
          </cell>
          <cell r="E23">
            <v>46190</v>
          </cell>
          <cell r="F23">
            <v>46190.25</v>
          </cell>
          <cell r="G23">
            <v>11</v>
          </cell>
          <cell r="H23" t="str">
            <v>San Francisco Bay Area</v>
          </cell>
          <cell r="I23" t="str">
            <v>Austria</v>
          </cell>
          <cell r="J23" t="str">
            <v>Jordan</v>
          </cell>
        </row>
        <row r="24">
          <cell r="B24">
            <v>21</v>
          </cell>
          <cell r="C24" t="str">
            <v>L3</v>
          </cell>
          <cell r="D24" t="str">
            <v>L4</v>
          </cell>
          <cell r="E24">
            <v>46190.791666666664</v>
          </cell>
          <cell r="F24">
            <v>46191.041666666664</v>
          </cell>
          <cell r="G24">
            <v>2</v>
          </cell>
          <cell r="H24" t="str">
            <v>Toronto</v>
          </cell>
          <cell r="I24" t="str">
            <v>Ghana</v>
          </cell>
          <cell r="J24" t="str">
            <v>Panama</v>
          </cell>
        </row>
        <row r="25">
          <cell r="B25">
            <v>22</v>
          </cell>
          <cell r="C25" t="str">
            <v>L1</v>
          </cell>
          <cell r="D25" t="str">
            <v>L2</v>
          </cell>
          <cell r="E25">
            <v>46190.666666666664</v>
          </cell>
          <cell r="F25">
            <v>46190.916666666664</v>
          </cell>
          <cell r="G25">
            <v>5</v>
          </cell>
          <cell r="H25" t="str">
            <v>Dallas</v>
          </cell>
          <cell r="I25" t="str">
            <v>England</v>
          </cell>
          <cell r="J25" t="str">
            <v>Croatia</v>
          </cell>
        </row>
        <row r="26">
          <cell r="B26">
            <v>23</v>
          </cell>
          <cell r="C26" t="str">
            <v>K1</v>
          </cell>
          <cell r="D26" t="str">
            <v>K2</v>
          </cell>
          <cell r="E26">
            <v>46190.541666666664</v>
          </cell>
          <cell r="F26">
            <v>46190.791666666664</v>
          </cell>
          <cell r="G26">
            <v>6</v>
          </cell>
          <cell r="H26" t="str">
            <v>Houston</v>
          </cell>
          <cell r="I26" t="str">
            <v>Portugal</v>
          </cell>
          <cell r="J26" t="str">
            <v>Play-Off 1</v>
          </cell>
        </row>
        <row r="27">
          <cell r="B27">
            <v>24</v>
          </cell>
          <cell r="C27" t="str">
            <v>K3</v>
          </cell>
          <cell r="D27" t="str">
            <v>K4</v>
          </cell>
          <cell r="E27">
            <v>46190.916666666664</v>
          </cell>
          <cell r="F27">
            <v>46191.166666666664</v>
          </cell>
          <cell r="G27">
            <v>14</v>
          </cell>
          <cell r="H27" t="str">
            <v>Mexico City</v>
          </cell>
          <cell r="I27" t="str">
            <v>Uzbekistan</v>
          </cell>
          <cell r="J27" t="str">
            <v>Colombia</v>
          </cell>
        </row>
        <row r="28">
          <cell r="B28">
            <v>25</v>
          </cell>
          <cell r="C28" t="str">
            <v>A4</v>
          </cell>
          <cell r="D28" t="str">
            <v>A2</v>
          </cell>
          <cell r="E28">
            <v>46191.5</v>
          </cell>
          <cell r="F28">
            <v>46191.75</v>
          </cell>
          <cell r="G28">
            <v>7</v>
          </cell>
          <cell r="H28" t="str">
            <v>Atlanta</v>
          </cell>
          <cell r="I28" t="str">
            <v>Play-Off D</v>
          </cell>
          <cell r="J28" t="str">
            <v>South Africa</v>
          </cell>
        </row>
        <row r="29">
          <cell r="B29">
            <v>26</v>
          </cell>
          <cell r="C29" t="str">
            <v>B4</v>
          </cell>
          <cell r="D29" t="str">
            <v>B2</v>
          </cell>
          <cell r="E29">
            <v>46191.625</v>
          </cell>
          <cell r="F29">
            <v>46191.875</v>
          </cell>
          <cell r="G29">
            <v>8</v>
          </cell>
          <cell r="H29" t="str">
            <v>Los Angeles</v>
          </cell>
          <cell r="I29" t="str">
            <v>Switzerland</v>
          </cell>
          <cell r="J29" t="str">
            <v>Play-Off A</v>
          </cell>
        </row>
        <row r="30">
          <cell r="B30">
            <v>27</v>
          </cell>
          <cell r="C30" t="str">
            <v>B1</v>
          </cell>
          <cell r="D30" t="str">
            <v>B3</v>
          </cell>
          <cell r="E30">
            <v>46191.75</v>
          </cell>
          <cell r="F30">
            <v>46192</v>
          </cell>
          <cell r="G30">
            <v>1</v>
          </cell>
          <cell r="H30" t="str">
            <v>Vancouver</v>
          </cell>
          <cell r="I30" t="str">
            <v>Canada</v>
          </cell>
          <cell r="J30" t="str">
            <v>Qatar</v>
          </cell>
        </row>
        <row r="31">
          <cell r="B31">
            <v>28</v>
          </cell>
          <cell r="C31" t="str">
            <v>A1</v>
          </cell>
          <cell r="D31" t="str">
            <v>A3</v>
          </cell>
          <cell r="E31">
            <v>46191.875</v>
          </cell>
          <cell r="F31">
            <v>46192.125</v>
          </cell>
          <cell r="G31">
            <v>15</v>
          </cell>
          <cell r="H31" t="str">
            <v>Guadalajara</v>
          </cell>
          <cell r="I31" t="str">
            <v>Mexico</v>
          </cell>
          <cell r="J31" t="str">
            <v>Rep. of Korea</v>
          </cell>
        </row>
        <row r="32">
          <cell r="B32">
            <v>29</v>
          </cell>
          <cell r="C32" t="str">
            <v>C1</v>
          </cell>
          <cell r="D32" t="str">
            <v>C3</v>
          </cell>
          <cell r="E32">
            <v>46192.875</v>
          </cell>
          <cell r="F32">
            <v>46193.125</v>
          </cell>
          <cell r="G32">
            <v>9</v>
          </cell>
          <cell r="H32" t="str">
            <v>Philadelphia</v>
          </cell>
          <cell r="I32" t="str">
            <v>Brazil</v>
          </cell>
          <cell r="J32" t="str">
            <v>Haiti</v>
          </cell>
        </row>
        <row r="33">
          <cell r="B33">
            <v>30</v>
          </cell>
          <cell r="C33" t="str">
            <v>C4</v>
          </cell>
          <cell r="D33" t="str">
            <v>C2</v>
          </cell>
          <cell r="E33">
            <v>46192.75</v>
          </cell>
          <cell r="F33">
            <v>46193</v>
          </cell>
          <cell r="G33">
            <v>12</v>
          </cell>
          <cell r="H33" t="str">
            <v>Boston</v>
          </cell>
          <cell r="I33" t="str">
            <v>Scotland</v>
          </cell>
          <cell r="J33" t="str">
            <v>Morocco</v>
          </cell>
        </row>
        <row r="34">
          <cell r="B34">
            <v>31</v>
          </cell>
          <cell r="C34" t="str">
            <v>D4</v>
          </cell>
          <cell r="D34" t="str">
            <v>D2</v>
          </cell>
          <cell r="E34">
            <v>46193</v>
          </cell>
          <cell r="F34">
            <v>46193.25</v>
          </cell>
          <cell r="G34">
            <v>11</v>
          </cell>
          <cell r="H34" t="str">
            <v>San Francisco Bay Area</v>
          </cell>
          <cell r="I34" t="str">
            <v>Play-Off C</v>
          </cell>
          <cell r="J34" t="str">
            <v>Paraguay</v>
          </cell>
        </row>
        <row r="35">
          <cell r="B35">
            <v>32</v>
          </cell>
          <cell r="C35" t="str">
            <v>D1</v>
          </cell>
          <cell r="D35" t="str">
            <v>D3</v>
          </cell>
          <cell r="E35">
            <v>46192.625</v>
          </cell>
          <cell r="F35">
            <v>46192.875</v>
          </cell>
          <cell r="G35">
            <v>10</v>
          </cell>
          <cell r="H35" t="str">
            <v>Seattle</v>
          </cell>
          <cell r="I35" t="str">
            <v>USA</v>
          </cell>
          <cell r="J35" t="str">
            <v>Australia</v>
          </cell>
        </row>
        <row r="36">
          <cell r="B36">
            <v>33</v>
          </cell>
          <cell r="C36" t="str">
            <v>E1</v>
          </cell>
          <cell r="D36" t="str">
            <v>E3</v>
          </cell>
          <cell r="E36">
            <v>46193.666666666664</v>
          </cell>
          <cell r="F36">
            <v>46193.916666666664</v>
          </cell>
          <cell r="G36">
            <v>2</v>
          </cell>
          <cell r="H36" t="str">
            <v>Toronto</v>
          </cell>
          <cell r="I36" t="str">
            <v>Germany</v>
          </cell>
          <cell r="J36" t="str">
            <v>Ivory Coast</v>
          </cell>
        </row>
        <row r="37">
          <cell r="B37">
            <v>34</v>
          </cell>
          <cell r="C37" t="str">
            <v>E4</v>
          </cell>
          <cell r="D37" t="str">
            <v>E2</v>
          </cell>
          <cell r="E37">
            <v>46193.833333333336</v>
          </cell>
          <cell r="F37">
            <v>46194.083333333336</v>
          </cell>
          <cell r="G37">
            <v>4</v>
          </cell>
          <cell r="H37" t="str">
            <v>Kansas City</v>
          </cell>
          <cell r="I37" t="str">
            <v>Ecuador</v>
          </cell>
          <cell r="J37" t="str">
            <v>Curaçao</v>
          </cell>
        </row>
        <row r="38">
          <cell r="B38">
            <v>35</v>
          </cell>
          <cell r="C38" t="str">
            <v>F1</v>
          </cell>
          <cell r="D38" t="str">
            <v>F3</v>
          </cell>
          <cell r="E38">
            <v>46193.541666666664</v>
          </cell>
          <cell r="F38">
            <v>46193.791666666664</v>
          </cell>
          <cell r="G38">
            <v>6</v>
          </cell>
          <cell r="H38" t="str">
            <v>Houston</v>
          </cell>
          <cell r="I38" t="str">
            <v>Netherlands</v>
          </cell>
          <cell r="J38" t="str">
            <v>Play-Off B</v>
          </cell>
        </row>
        <row r="39">
          <cell r="B39">
            <v>36</v>
          </cell>
          <cell r="C39" t="str">
            <v>F4</v>
          </cell>
          <cell r="D39" t="str">
            <v>F2</v>
          </cell>
          <cell r="E39">
            <v>46194</v>
          </cell>
          <cell r="F39">
            <v>46194.25</v>
          </cell>
          <cell r="G39">
            <v>16</v>
          </cell>
          <cell r="H39" t="str">
            <v>Monterrey</v>
          </cell>
          <cell r="I39" t="str">
            <v>Tunisia</v>
          </cell>
          <cell r="J39" t="str">
            <v>Japan</v>
          </cell>
        </row>
        <row r="40">
          <cell r="B40">
            <v>37</v>
          </cell>
          <cell r="C40" t="str">
            <v>H4</v>
          </cell>
          <cell r="D40" t="str">
            <v>H2</v>
          </cell>
          <cell r="E40">
            <v>46194.75</v>
          </cell>
          <cell r="F40">
            <v>46195</v>
          </cell>
          <cell r="G40">
            <v>13</v>
          </cell>
          <cell r="H40" t="str">
            <v>Miami</v>
          </cell>
          <cell r="I40" t="str">
            <v>Uruguay</v>
          </cell>
          <cell r="J40" t="str">
            <v>Cape Verde</v>
          </cell>
        </row>
        <row r="41">
          <cell r="B41">
            <v>38</v>
          </cell>
          <cell r="C41" t="str">
            <v>H1</v>
          </cell>
          <cell r="D41" t="str">
            <v>H3</v>
          </cell>
          <cell r="E41">
            <v>46194.5</v>
          </cell>
          <cell r="F41">
            <v>46194.75</v>
          </cell>
          <cell r="G41">
            <v>7</v>
          </cell>
          <cell r="H41" t="str">
            <v>Atlanta</v>
          </cell>
          <cell r="I41" t="str">
            <v>Spain</v>
          </cell>
          <cell r="J41" t="str">
            <v>Saudi Arabia</v>
          </cell>
        </row>
        <row r="42">
          <cell r="B42">
            <v>39</v>
          </cell>
          <cell r="C42" t="str">
            <v>G1</v>
          </cell>
          <cell r="D42" t="str">
            <v>G3</v>
          </cell>
          <cell r="E42">
            <v>46194.625</v>
          </cell>
          <cell r="F42">
            <v>46194.875</v>
          </cell>
          <cell r="G42">
            <v>8</v>
          </cell>
          <cell r="H42" t="str">
            <v>Los Angeles</v>
          </cell>
          <cell r="I42" t="str">
            <v>Belgium</v>
          </cell>
          <cell r="J42" t="str">
            <v>IR Iran</v>
          </cell>
        </row>
        <row r="43">
          <cell r="B43">
            <v>40</v>
          </cell>
          <cell r="C43" t="str">
            <v>G4</v>
          </cell>
          <cell r="D43" t="str">
            <v>G2</v>
          </cell>
          <cell r="E43">
            <v>46194.875</v>
          </cell>
          <cell r="F43">
            <v>46195.125</v>
          </cell>
          <cell r="G43">
            <v>1</v>
          </cell>
          <cell r="H43" t="str">
            <v>Vancouver</v>
          </cell>
          <cell r="I43" t="str">
            <v>New Zealand</v>
          </cell>
          <cell r="J43" t="str">
            <v>Egypt</v>
          </cell>
        </row>
        <row r="44">
          <cell r="B44">
            <v>41</v>
          </cell>
          <cell r="C44" t="str">
            <v>I4</v>
          </cell>
          <cell r="D44" t="str">
            <v>I2</v>
          </cell>
          <cell r="E44">
            <v>46195.833333333336</v>
          </cell>
          <cell r="F44">
            <v>46196.083333333336</v>
          </cell>
          <cell r="G44">
            <v>3</v>
          </cell>
          <cell r="H44" t="str">
            <v>New York/New Jersey</v>
          </cell>
          <cell r="I44" t="str">
            <v>Norway</v>
          </cell>
          <cell r="J44" t="str">
            <v>Senegal</v>
          </cell>
        </row>
        <row r="45">
          <cell r="B45">
            <v>42</v>
          </cell>
          <cell r="C45" t="str">
            <v>I1</v>
          </cell>
          <cell r="D45" t="str">
            <v>I3</v>
          </cell>
          <cell r="E45">
            <v>46195.708333333336</v>
          </cell>
          <cell r="F45">
            <v>46195.958333333336</v>
          </cell>
          <cell r="G45">
            <v>9</v>
          </cell>
          <cell r="H45" t="str">
            <v>Philadelphia</v>
          </cell>
          <cell r="I45" t="str">
            <v>France</v>
          </cell>
          <cell r="J45" t="str">
            <v>Play-Off 2</v>
          </cell>
        </row>
        <row r="46">
          <cell r="B46">
            <v>43</v>
          </cell>
          <cell r="C46" t="str">
            <v>J1</v>
          </cell>
          <cell r="D46" t="str">
            <v>J3</v>
          </cell>
          <cell r="E46">
            <v>46195.541666666664</v>
          </cell>
          <cell r="F46">
            <v>46195.791666666664</v>
          </cell>
          <cell r="G46">
            <v>5</v>
          </cell>
          <cell r="H46" t="str">
            <v>Dallas</v>
          </cell>
          <cell r="I46" t="str">
            <v>Argentina</v>
          </cell>
          <cell r="J46" t="str">
            <v>Austria</v>
          </cell>
        </row>
        <row r="47">
          <cell r="B47">
            <v>44</v>
          </cell>
          <cell r="C47" t="str">
            <v>J4</v>
          </cell>
          <cell r="D47" t="str">
            <v>J2</v>
          </cell>
          <cell r="E47">
            <v>46195.958333333336</v>
          </cell>
          <cell r="F47">
            <v>46196.208333333336</v>
          </cell>
          <cell r="G47">
            <v>11</v>
          </cell>
          <cell r="H47" t="str">
            <v>San Francisco Bay Area</v>
          </cell>
          <cell r="I47" t="str">
            <v>Jordan</v>
          </cell>
          <cell r="J47" t="str">
            <v>Algeria</v>
          </cell>
        </row>
        <row r="48">
          <cell r="B48">
            <v>45</v>
          </cell>
          <cell r="C48" t="str">
            <v>L1</v>
          </cell>
          <cell r="D48" t="str">
            <v>L3</v>
          </cell>
          <cell r="E48">
            <v>46196.666666666664</v>
          </cell>
          <cell r="F48">
            <v>46196.916666666664</v>
          </cell>
          <cell r="G48">
            <v>12</v>
          </cell>
          <cell r="H48" t="str">
            <v>Boston</v>
          </cell>
          <cell r="I48" t="str">
            <v>England</v>
          </cell>
          <cell r="J48" t="str">
            <v>Ghana</v>
          </cell>
        </row>
        <row r="49">
          <cell r="B49">
            <v>46</v>
          </cell>
          <cell r="C49" t="str">
            <v>L4</v>
          </cell>
          <cell r="D49" t="str">
            <v>L2</v>
          </cell>
          <cell r="E49">
            <v>46196.791666666664</v>
          </cell>
          <cell r="F49">
            <v>46197.041666666664</v>
          </cell>
          <cell r="G49">
            <v>2</v>
          </cell>
          <cell r="H49" t="str">
            <v>Toronto</v>
          </cell>
          <cell r="I49" t="str">
            <v>Panama</v>
          </cell>
          <cell r="J49" t="str">
            <v>Croatia</v>
          </cell>
        </row>
        <row r="50">
          <cell r="B50">
            <v>47</v>
          </cell>
          <cell r="C50" t="str">
            <v>K1</v>
          </cell>
          <cell r="D50" t="str">
            <v>K3</v>
          </cell>
          <cell r="E50">
            <v>46196.541666666664</v>
          </cell>
          <cell r="F50">
            <v>46196.791666666664</v>
          </cell>
          <cell r="G50">
            <v>6</v>
          </cell>
          <cell r="H50" t="str">
            <v>Houston</v>
          </cell>
          <cell r="I50" t="str">
            <v>Portugal</v>
          </cell>
          <cell r="J50" t="str">
            <v>Uzbekistan</v>
          </cell>
        </row>
        <row r="51">
          <cell r="B51">
            <v>48</v>
          </cell>
          <cell r="C51" t="str">
            <v>K4</v>
          </cell>
          <cell r="D51" t="str">
            <v>K2</v>
          </cell>
          <cell r="E51">
            <v>46196.916666666664</v>
          </cell>
          <cell r="F51">
            <v>46197.166666666664</v>
          </cell>
          <cell r="G51">
            <v>15</v>
          </cell>
          <cell r="H51" t="str">
            <v>Guadalajara</v>
          </cell>
          <cell r="I51" t="str">
            <v>Colombia</v>
          </cell>
          <cell r="J51" t="str">
            <v>Play-Off 1</v>
          </cell>
        </row>
        <row r="52">
          <cell r="B52">
            <v>49</v>
          </cell>
          <cell r="C52" t="str">
            <v>C4</v>
          </cell>
          <cell r="D52" t="str">
            <v>C1</v>
          </cell>
          <cell r="E52">
            <v>46197.75</v>
          </cell>
          <cell r="F52">
            <v>46198</v>
          </cell>
          <cell r="G52">
            <v>13</v>
          </cell>
          <cell r="H52" t="str">
            <v>Miami</v>
          </cell>
          <cell r="I52" t="str">
            <v>Scotland</v>
          </cell>
          <cell r="J52" t="str">
            <v>Brazil</v>
          </cell>
        </row>
        <row r="53">
          <cell r="B53">
            <v>50</v>
          </cell>
          <cell r="C53" t="str">
            <v>C2</v>
          </cell>
          <cell r="D53" t="str">
            <v>C3</v>
          </cell>
          <cell r="E53">
            <v>46197.75</v>
          </cell>
          <cell r="F53">
            <v>46198</v>
          </cell>
          <cell r="G53">
            <v>7</v>
          </cell>
          <cell r="H53" t="str">
            <v>Atlanta</v>
          </cell>
          <cell r="I53" t="str">
            <v>Morocco</v>
          </cell>
          <cell r="J53" t="str">
            <v>Haiti</v>
          </cell>
        </row>
        <row r="54">
          <cell r="B54">
            <v>51</v>
          </cell>
          <cell r="C54" t="str">
            <v>B4</v>
          </cell>
          <cell r="D54" t="str">
            <v>B1</v>
          </cell>
          <cell r="E54">
            <v>46197.625</v>
          </cell>
          <cell r="F54">
            <v>46197.875</v>
          </cell>
          <cell r="G54">
            <v>1</v>
          </cell>
          <cell r="H54" t="str">
            <v>Vancouver</v>
          </cell>
          <cell r="I54" t="str">
            <v>Switzerland</v>
          </cell>
          <cell r="J54" t="str">
            <v>Canada</v>
          </cell>
        </row>
        <row r="55">
          <cell r="B55">
            <v>52</v>
          </cell>
          <cell r="C55" t="str">
            <v>B2</v>
          </cell>
          <cell r="D55" t="str">
            <v>B3</v>
          </cell>
          <cell r="E55">
            <v>46197.625</v>
          </cell>
          <cell r="F55">
            <v>46197.875</v>
          </cell>
          <cell r="G55">
            <v>10</v>
          </cell>
          <cell r="H55" t="str">
            <v>Seattle</v>
          </cell>
          <cell r="I55" t="str">
            <v>Play-Off A</v>
          </cell>
          <cell r="J55" t="str">
            <v>Qatar</v>
          </cell>
        </row>
        <row r="56">
          <cell r="B56">
            <v>53</v>
          </cell>
          <cell r="C56" t="str">
            <v>A4</v>
          </cell>
          <cell r="D56" t="str">
            <v>A1</v>
          </cell>
          <cell r="E56">
            <v>46197.875</v>
          </cell>
          <cell r="F56">
            <v>46198.125</v>
          </cell>
          <cell r="G56">
            <v>14</v>
          </cell>
          <cell r="H56" t="str">
            <v>Mexico City</v>
          </cell>
          <cell r="I56" t="str">
            <v>Play-Off D</v>
          </cell>
          <cell r="J56" t="str">
            <v>Mexico</v>
          </cell>
        </row>
        <row r="57">
          <cell r="B57">
            <v>54</v>
          </cell>
          <cell r="C57" t="str">
            <v>A2</v>
          </cell>
          <cell r="D57" t="str">
            <v>A3</v>
          </cell>
          <cell r="E57">
            <v>46197.875</v>
          </cell>
          <cell r="F57">
            <v>46198.125</v>
          </cell>
          <cell r="G57">
            <v>16</v>
          </cell>
          <cell r="H57" t="str">
            <v>Monterrey</v>
          </cell>
          <cell r="I57" t="str">
            <v>South Africa</v>
          </cell>
          <cell r="J57" t="str">
            <v>Rep. of Korea</v>
          </cell>
        </row>
        <row r="58">
          <cell r="B58">
            <v>55</v>
          </cell>
          <cell r="C58" t="str">
            <v>E2</v>
          </cell>
          <cell r="D58" t="str">
            <v>E3</v>
          </cell>
          <cell r="E58">
            <v>46198.666666666664</v>
          </cell>
          <cell r="F58">
            <v>46198.916666666664</v>
          </cell>
          <cell r="G58">
            <v>9</v>
          </cell>
          <cell r="H58" t="str">
            <v>Philadelphia</v>
          </cell>
          <cell r="I58" t="str">
            <v>Curaçao</v>
          </cell>
          <cell r="J58" t="str">
            <v>Ivory Coast</v>
          </cell>
        </row>
        <row r="59">
          <cell r="B59">
            <v>56</v>
          </cell>
          <cell r="C59" t="str">
            <v>E4</v>
          </cell>
          <cell r="D59" t="str">
            <v>E1</v>
          </cell>
          <cell r="E59">
            <v>46198.666666666664</v>
          </cell>
          <cell r="F59">
            <v>46198.916666666664</v>
          </cell>
          <cell r="G59">
            <v>3</v>
          </cell>
          <cell r="H59" t="str">
            <v>New York/New Jersey</v>
          </cell>
          <cell r="I59" t="str">
            <v>Ecuador</v>
          </cell>
          <cell r="J59" t="str">
            <v>Germany</v>
          </cell>
        </row>
        <row r="60">
          <cell r="B60">
            <v>57</v>
          </cell>
          <cell r="C60" t="str">
            <v>F2</v>
          </cell>
          <cell r="D60" t="str">
            <v>F3</v>
          </cell>
          <cell r="E60">
            <v>46198.791666666664</v>
          </cell>
          <cell r="F60">
            <v>46199.041666666664</v>
          </cell>
          <cell r="G60">
            <v>5</v>
          </cell>
          <cell r="H60" t="str">
            <v>Dallas</v>
          </cell>
          <cell r="I60" t="str">
            <v>Japan</v>
          </cell>
          <cell r="J60" t="str">
            <v>Play-Off B</v>
          </cell>
        </row>
        <row r="61">
          <cell r="B61">
            <v>58</v>
          </cell>
          <cell r="C61" t="str">
            <v>F4</v>
          </cell>
          <cell r="D61" t="str">
            <v>F1</v>
          </cell>
          <cell r="E61">
            <v>46198.791666666664</v>
          </cell>
          <cell r="F61">
            <v>46199.041666666664</v>
          </cell>
          <cell r="G61">
            <v>4</v>
          </cell>
          <cell r="H61" t="str">
            <v>Kansas City</v>
          </cell>
          <cell r="I61" t="str">
            <v>Tunisia</v>
          </cell>
          <cell r="J61" t="str">
            <v>Netherlands</v>
          </cell>
        </row>
        <row r="62">
          <cell r="B62">
            <v>59</v>
          </cell>
          <cell r="C62" t="str">
            <v>D4</v>
          </cell>
          <cell r="D62" t="str">
            <v>D1</v>
          </cell>
          <cell r="E62">
            <v>46198.916666666664</v>
          </cell>
          <cell r="F62">
            <v>46199.166666666664</v>
          </cell>
          <cell r="G62">
            <v>8</v>
          </cell>
          <cell r="H62" t="str">
            <v>Los Angeles</v>
          </cell>
          <cell r="I62" t="str">
            <v>Play-Off C</v>
          </cell>
          <cell r="J62" t="str">
            <v>USA</v>
          </cell>
        </row>
        <row r="63">
          <cell r="B63">
            <v>60</v>
          </cell>
          <cell r="C63" t="str">
            <v>D2</v>
          </cell>
          <cell r="D63" t="str">
            <v>D3</v>
          </cell>
          <cell r="E63">
            <v>46198.916666666664</v>
          </cell>
          <cell r="F63">
            <v>46199.166666666664</v>
          </cell>
          <cell r="G63">
            <v>11</v>
          </cell>
          <cell r="H63" t="str">
            <v>San Francisco Bay Area</v>
          </cell>
          <cell r="I63" t="str">
            <v>Paraguay</v>
          </cell>
          <cell r="J63" t="str">
            <v>Australia</v>
          </cell>
        </row>
        <row r="64">
          <cell r="B64">
            <v>61</v>
          </cell>
          <cell r="C64" t="str">
            <v>I4</v>
          </cell>
          <cell r="D64" t="str">
            <v>I1</v>
          </cell>
          <cell r="E64">
            <v>46199.625</v>
          </cell>
          <cell r="F64">
            <v>46199.875</v>
          </cell>
          <cell r="G64">
            <v>12</v>
          </cell>
          <cell r="H64" t="str">
            <v>Boston</v>
          </cell>
          <cell r="I64" t="str">
            <v>Norway</v>
          </cell>
          <cell r="J64" t="str">
            <v>France</v>
          </cell>
        </row>
        <row r="65">
          <cell r="B65">
            <v>62</v>
          </cell>
          <cell r="C65" t="str">
            <v>I2</v>
          </cell>
          <cell r="D65" t="str">
            <v>I3</v>
          </cell>
          <cell r="E65">
            <v>46199.625</v>
          </cell>
          <cell r="F65">
            <v>46199.875</v>
          </cell>
          <cell r="G65">
            <v>2</v>
          </cell>
          <cell r="H65" t="str">
            <v>Toronto</v>
          </cell>
          <cell r="I65" t="str">
            <v>Senegal</v>
          </cell>
          <cell r="J65" t="str">
            <v>Play-Off 2</v>
          </cell>
        </row>
        <row r="66">
          <cell r="B66">
            <v>63</v>
          </cell>
          <cell r="C66" t="str">
            <v>G2</v>
          </cell>
          <cell r="D66" t="str">
            <v>G3</v>
          </cell>
          <cell r="E66">
            <v>46199.958333333336</v>
          </cell>
          <cell r="F66">
            <v>46200.208333333336</v>
          </cell>
          <cell r="G66">
            <v>10</v>
          </cell>
          <cell r="H66" t="str">
            <v>Seattle</v>
          </cell>
          <cell r="I66" t="str">
            <v>Egypt</v>
          </cell>
          <cell r="J66" t="str">
            <v>IR Iran</v>
          </cell>
        </row>
        <row r="67">
          <cell r="B67">
            <v>64</v>
          </cell>
          <cell r="C67" t="str">
            <v>G4</v>
          </cell>
          <cell r="D67" t="str">
            <v>G1</v>
          </cell>
          <cell r="E67">
            <v>46199.958333333336</v>
          </cell>
          <cell r="F67">
            <v>46200.208333333336</v>
          </cell>
          <cell r="G67">
            <v>1</v>
          </cell>
          <cell r="H67" t="str">
            <v>Vancouver</v>
          </cell>
          <cell r="I67" t="str">
            <v>New Zealand</v>
          </cell>
          <cell r="J67" t="str">
            <v>Belgium</v>
          </cell>
        </row>
        <row r="68">
          <cell r="B68">
            <v>65</v>
          </cell>
          <cell r="C68" t="str">
            <v>H2</v>
          </cell>
          <cell r="D68" t="str">
            <v>H3</v>
          </cell>
          <cell r="E68">
            <v>46199.833333333336</v>
          </cell>
          <cell r="F68">
            <v>46200.083333333336</v>
          </cell>
          <cell r="G68">
            <v>6</v>
          </cell>
          <cell r="H68" t="str">
            <v>Houston</v>
          </cell>
          <cell r="I68" t="str">
            <v>Cape Verde</v>
          </cell>
          <cell r="J68" t="str">
            <v>Saudi Arabia</v>
          </cell>
        </row>
        <row r="69">
          <cell r="B69">
            <v>66</v>
          </cell>
          <cell r="C69" t="str">
            <v>H4</v>
          </cell>
          <cell r="D69" t="str">
            <v>H1</v>
          </cell>
          <cell r="E69">
            <v>46199.833333333336</v>
          </cell>
          <cell r="F69">
            <v>46200.083333333336</v>
          </cell>
          <cell r="G69">
            <v>15</v>
          </cell>
          <cell r="H69" t="str">
            <v>Guadalajara</v>
          </cell>
          <cell r="I69" t="str">
            <v>Uruguay</v>
          </cell>
          <cell r="J69" t="str">
            <v>Spain</v>
          </cell>
        </row>
        <row r="70">
          <cell r="B70">
            <v>67</v>
          </cell>
          <cell r="C70" t="str">
            <v>L4</v>
          </cell>
          <cell r="D70" t="str">
            <v>L1</v>
          </cell>
          <cell r="E70">
            <v>46200.708333333336</v>
          </cell>
          <cell r="F70">
            <v>46200.958333333336</v>
          </cell>
          <cell r="G70">
            <v>3</v>
          </cell>
          <cell r="H70" t="str">
            <v>New York/New Jersey</v>
          </cell>
          <cell r="I70" t="str">
            <v>Panama</v>
          </cell>
          <cell r="J70" t="str">
            <v>England</v>
          </cell>
        </row>
        <row r="71">
          <cell r="B71">
            <v>68</v>
          </cell>
          <cell r="C71" t="str">
            <v>L2</v>
          </cell>
          <cell r="D71" t="str">
            <v>L3</v>
          </cell>
          <cell r="E71">
            <v>46200.708333333336</v>
          </cell>
          <cell r="F71">
            <v>46200.958333333336</v>
          </cell>
          <cell r="G71">
            <v>9</v>
          </cell>
          <cell r="H71" t="str">
            <v>Philadelphia</v>
          </cell>
          <cell r="I71" t="str">
            <v>Croatia</v>
          </cell>
          <cell r="J71" t="str">
            <v>Ghana</v>
          </cell>
        </row>
        <row r="72">
          <cell r="B72">
            <v>69</v>
          </cell>
          <cell r="C72" t="str">
            <v>J2</v>
          </cell>
          <cell r="D72" t="str">
            <v>J3</v>
          </cell>
          <cell r="E72">
            <v>46200.916666666664</v>
          </cell>
          <cell r="F72">
            <v>46201.166666666664</v>
          </cell>
          <cell r="G72">
            <v>4</v>
          </cell>
          <cell r="H72" t="str">
            <v>Kansas City</v>
          </cell>
          <cell r="I72" t="str">
            <v>Algeria</v>
          </cell>
          <cell r="J72" t="str">
            <v>Austria</v>
          </cell>
        </row>
        <row r="73">
          <cell r="B73">
            <v>70</v>
          </cell>
          <cell r="C73" t="str">
            <v>J4</v>
          </cell>
          <cell r="D73" t="str">
            <v>J1</v>
          </cell>
          <cell r="E73">
            <v>46200.916666666664</v>
          </cell>
          <cell r="F73">
            <v>46201.166666666664</v>
          </cell>
          <cell r="G73">
            <v>5</v>
          </cell>
          <cell r="H73" t="str">
            <v>Dallas</v>
          </cell>
          <cell r="I73" t="str">
            <v>Jordan</v>
          </cell>
          <cell r="J73" t="str">
            <v>Argentina</v>
          </cell>
        </row>
        <row r="74">
          <cell r="B74">
            <v>71</v>
          </cell>
          <cell r="C74" t="str">
            <v>K4</v>
          </cell>
          <cell r="D74" t="str">
            <v>K1</v>
          </cell>
          <cell r="E74">
            <v>46200.8125</v>
          </cell>
          <cell r="F74">
            <v>46201.0625</v>
          </cell>
          <cell r="G74">
            <v>13</v>
          </cell>
          <cell r="H74" t="str">
            <v>Miami</v>
          </cell>
          <cell r="I74" t="str">
            <v>Colombia</v>
          </cell>
          <cell r="J74" t="str">
            <v>Portugal</v>
          </cell>
        </row>
        <row r="75">
          <cell r="B75">
            <v>72</v>
          </cell>
          <cell r="C75" t="str">
            <v>K2</v>
          </cell>
          <cell r="D75" t="str">
            <v>K3</v>
          </cell>
          <cell r="E75">
            <v>46200.8125</v>
          </cell>
          <cell r="F75">
            <v>46201.0625</v>
          </cell>
          <cell r="G75">
            <v>7</v>
          </cell>
          <cell r="H75" t="str">
            <v>Atlanta</v>
          </cell>
          <cell r="I75" t="str">
            <v>Play-Off 1</v>
          </cell>
          <cell r="J75" t="str">
            <v>Uzbekistan</v>
          </cell>
        </row>
        <row r="76">
          <cell r="B76" t="str">
            <v>Round of 32</v>
          </cell>
        </row>
        <row r="77">
          <cell r="B77">
            <v>73</v>
          </cell>
          <cell r="C77" t="str">
            <v>2A</v>
          </cell>
          <cell r="D77" t="str">
            <v>2B</v>
          </cell>
          <cell r="E77">
            <v>46201.625</v>
          </cell>
          <cell r="F77">
            <v>46201.875</v>
          </cell>
          <cell r="G77">
            <v>8</v>
          </cell>
          <cell r="H77" t="str">
            <v>Los Angeles</v>
          </cell>
          <cell r="I77" t="str">
            <v>Mexico</v>
          </cell>
          <cell r="J77" t="str">
            <v>Switzerland</v>
          </cell>
        </row>
        <row r="78">
          <cell r="B78">
            <v>74</v>
          </cell>
          <cell r="C78" t="str">
            <v>1E</v>
          </cell>
          <cell r="D78" t="str">
            <v>3-ABCDF</v>
          </cell>
          <cell r="E78">
            <v>46202.6875</v>
          </cell>
          <cell r="F78">
            <v>46202.9375</v>
          </cell>
          <cell r="G78">
            <v>12</v>
          </cell>
          <cell r="H78" t="str">
            <v>Boston</v>
          </cell>
          <cell r="I78" t="str">
            <v>Curaçao</v>
          </cell>
          <cell r="J78" t="str">
            <v>Play-Off C</v>
          </cell>
        </row>
        <row r="79">
          <cell r="B79">
            <v>75</v>
          </cell>
          <cell r="C79" t="str">
            <v>1F</v>
          </cell>
          <cell r="D79" t="str">
            <v>2C</v>
          </cell>
          <cell r="E79">
            <v>46202.875</v>
          </cell>
          <cell r="F79">
            <v>46203.125</v>
          </cell>
          <cell r="G79">
            <v>16</v>
          </cell>
          <cell r="H79" t="str">
            <v>Monterrey</v>
          </cell>
          <cell r="I79" t="str">
            <v>Netherlands</v>
          </cell>
          <cell r="J79" t="str">
            <v>Scotland</v>
          </cell>
        </row>
        <row r="80">
          <cell r="B80">
            <v>76</v>
          </cell>
          <cell r="C80" t="str">
            <v>1C</v>
          </cell>
          <cell r="D80" t="str">
            <v>2F</v>
          </cell>
          <cell r="E80">
            <v>46202.541666666664</v>
          </cell>
          <cell r="F80">
            <v>46202.791666666664</v>
          </cell>
          <cell r="G80">
            <v>6</v>
          </cell>
          <cell r="H80" t="str">
            <v>Houston</v>
          </cell>
          <cell r="I80" t="str">
            <v>Brazil</v>
          </cell>
          <cell r="J80" t="str">
            <v>Japan</v>
          </cell>
        </row>
        <row r="81">
          <cell r="B81">
            <v>77</v>
          </cell>
          <cell r="C81" t="str">
            <v>1I</v>
          </cell>
          <cell r="D81" t="str">
            <v>3-CDFGH</v>
          </cell>
          <cell r="E81">
            <v>46203.708333333336</v>
          </cell>
          <cell r="F81">
            <v>46203.958333333336</v>
          </cell>
          <cell r="G81">
            <v>3</v>
          </cell>
          <cell r="H81" t="str">
            <v>New York/New Jersey</v>
          </cell>
          <cell r="I81" t="str">
            <v>Senegal</v>
          </cell>
          <cell r="J81" t="str">
            <v>Tunisia</v>
          </cell>
        </row>
        <row r="82">
          <cell r="B82">
            <v>78</v>
          </cell>
          <cell r="C82" t="str">
            <v>2E</v>
          </cell>
          <cell r="D82" t="str">
            <v>2I</v>
          </cell>
          <cell r="E82">
            <v>46203.541666666664</v>
          </cell>
          <cell r="F82">
            <v>46203.791666666664</v>
          </cell>
          <cell r="G82">
            <v>5</v>
          </cell>
          <cell r="H82" t="str">
            <v>Dallas</v>
          </cell>
          <cell r="I82" t="str">
            <v>Ivory Coast</v>
          </cell>
          <cell r="J82" t="str">
            <v>Play-Off 2</v>
          </cell>
        </row>
        <row r="83">
          <cell r="B83">
            <v>79</v>
          </cell>
          <cell r="C83" t="str">
            <v>1A</v>
          </cell>
          <cell r="D83" t="str">
            <v>3-CEFHI</v>
          </cell>
          <cell r="E83">
            <v>46203.875</v>
          </cell>
          <cell r="F83">
            <v>46204.125</v>
          </cell>
          <cell r="G83">
            <v>14</v>
          </cell>
          <cell r="H83" t="str">
            <v>Mexico City</v>
          </cell>
          <cell r="I83" t="str">
            <v>Rep. of Korea</v>
          </cell>
          <cell r="J83" t="str">
            <v>Germany</v>
          </cell>
        </row>
        <row r="84">
          <cell r="B84">
            <v>80</v>
          </cell>
          <cell r="C84" t="str">
            <v>1L</v>
          </cell>
          <cell r="D84" t="str">
            <v>3-EHIJK</v>
          </cell>
          <cell r="E84">
            <v>46204.5</v>
          </cell>
          <cell r="F84">
            <v>46204.75</v>
          </cell>
          <cell r="G84">
            <v>7</v>
          </cell>
          <cell r="H84" t="str">
            <v>Atlanta</v>
          </cell>
          <cell r="I84" t="str">
            <v>Ghana</v>
          </cell>
          <cell r="J84" t="str">
            <v>France</v>
          </cell>
        </row>
        <row r="85">
          <cell r="B85">
            <v>81</v>
          </cell>
          <cell r="C85" t="str">
            <v>1D</v>
          </cell>
          <cell r="D85" t="str">
            <v>3-BEFIJ</v>
          </cell>
          <cell r="E85">
            <v>46204.833333333336</v>
          </cell>
          <cell r="F85">
            <v>46205.083333333336</v>
          </cell>
          <cell r="G85">
            <v>11</v>
          </cell>
          <cell r="H85" t="str">
            <v>San Francisco Bay Area</v>
          </cell>
          <cell r="I85" t="str">
            <v>USA</v>
          </cell>
          <cell r="J85" t="str">
            <v>Jordan</v>
          </cell>
        </row>
        <row r="86">
          <cell r="B86">
            <v>82</v>
          </cell>
          <cell r="C86" t="str">
            <v>1G</v>
          </cell>
          <cell r="D86" t="str">
            <v>3-AEHIJ</v>
          </cell>
          <cell r="E86">
            <v>46204.666666666664</v>
          </cell>
          <cell r="F86">
            <v>46204.916666666664</v>
          </cell>
          <cell r="G86">
            <v>10</v>
          </cell>
          <cell r="H86" t="str">
            <v>Seattle</v>
          </cell>
          <cell r="I86" t="str">
            <v>IR Iran</v>
          </cell>
          <cell r="J86" t="str">
            <v>Play-Off D</v>
          </cell>
        </row>
        <row r="87">
          <cell r="B87">
            <v>83</v>
          </cell>
          <cell r="C87" t="str">
            <v>2K</v>
          </cell>
          <cell r="D87" t="str">
            <v>2L</v>
          </cell>
          <cell r="E87">
            <v>46205.791666666664</v>
          </cell>
          <cell r="F87">
            <v>46206.041666666664</v>
          </cell>
          <cell r="G87">
            <v>2</v>
          </cell>
          <cell r="H87" t="str">
            <v>Toronto</v>
          </cell>
          <cell r="I87" t="str">
            <v>Play-Off 1</v>
          </cell>
          <cell r="J87" t="str">
            <v>Panama</v>
          </cell>
        </row>
        <row r="88">
          <cell r="B88">
            <v>84</v>
          </cell>
          <cell r="C88" t="str">
            <v>1H</v>
          </cell>
          <cell r="D88" t="str">
            <v>2J</v>
          </cell>
          <cell r="E88">
            <v>46205.625</v>
          </cell>
          <cell r="F88">
            <v>46205.875</v>
          </cell>
          <cell r="G88">
            <v>8</v>
          </cell>
          <cell r="H88" t="str">
            <v>Los Angeles</v>
          </cell>
          <cell r="I88" t="str">
            <v>Saudi Arabia</v>
          </cell>
          <cell r="J88" t="str">
            <v>Algeria</v>
          </cell>
        </row>
        <row r="89">
          <cell r="B89">
            <v>85</v>
          </cell>
          <cell r="C89" t="str">
            <v>1B</v>
          </cell>
          <cell r="D89" t="str">
            <v>3-EFGIJ</v>
          </cell>
          <cell r="E89">
            <v>46205.958333333336</v>
          </cell>
          <cell r="F89">
            <v>46206.208333333336</v>
          </cell>
          <cell r="G89">
            <v>1</v>
          </cell>
          <cell r="H89" t="str">
            <v>Vancouver</v>
          </cell>
          <cell r="I89" t="str">
            <v>Canada</v>
          </cell>
          <cell r="J89" t="str">
            <v>Egypt</v>
          </cell>
        </row>
        <row r="90">
          <cell r="B90">
            <v>86</v>
          </cell>
          <cell r="C90" t="str">
            <v>1J</v>
          </cell>
          <cell r="D90" t="str">
            <v>2H</v>
          </cell>
          <cell r="E90">
            <v>46206.75</v>
          </cell>
          <cell r="F90">
            <v>46207</v>
          </cell>
          <cell r="G90">
            <v>13</v>
          </cell>
          <cell r="H90" t="str">
            <v>Miami</v>
          </cell>
          <cell r="I90" t="str">
            <v>Austria</v>
          </cell>
          <cell r="J90" t="str">
            <v>Spain</v>
          </cell>
        </row>
        <row r="91">
          <cell r="B91">
            <v>87</v>
          </cell>
          <cell r="C91" t="str">
            <v>1K</v>
          </cell>
          <cell r="D91" t="str">
            <v>3-DEIJL</v>
          </cell>
          <cell r="E91">
            <v>46206.895833333336</v>
          </cell>
          <cell r="F91">
            <v>46207.145833333336</v>
          </cell>
          <cell r="G91">
            <v>4</v>
          </cell>
          <cell r="H91" t="str">
            <v>Kansas City</v>
          </cell>
          <cell r="I91" t="str">
            <v>Uzbekistan</v>
          </cell>
          <cell r="J91" t="str">
            <v>Croatia</v>
          </cell>
        </row>
        <row r="92">
          <cell r="B92">
            <v>88</v>
          </cell>
          <cell r="C92" t="str">
            <v>2D</v>
          </cell>
          <cell r="D92" t="str">
            <v>2G</v>
          </cell>
          <cell r="E92">
            <v>46206.583333333336</v>
          </cell>
          <cell r="F92">
            <v>46206.833333333336</v>
          </cell>
          <cell r="G92">
            <v>5</v>
          </cell>
          <cell r="H92" t="str">
            <v>Dallas</v>
          </cell>
          <cell r="I92" t="str">
            <v>Paraguay</v>
          </cell>
          <cell r="J92" t="str">
            <v>New Zealand</v>
          </cell>
        </row>
        <row r="93">
          <cell r="B93" t="str">
            <v>Round of 16</v>
          </cell>
        </row>
        <row r="94">
          <cell r="B94">
            <v>89</v>
          </cell>
          <cell r="C94" t="str">
            <v>W74</v>
          </cell>
          <cell r="D94" t="str">
            <v>W77</v>
          </cell>
          <cell r="E94">
            <v>46207.708333333336</v>
          </cell>
          <cell r="F94">
            <v>46207.958333333336</v>
          </cell>
          <cell r="G94">
            <v>9</v>
          </cell>
          <cell r="H94" t="str">
            <v>Philadelphia</v>
          </cell>
        </row>
        <row r="95">
          <cell r="B95">
            <v>90</v>
          </cell>
          <cell r="C95" t="str">
            <v>W73</v>
          </cell>
          <cell r="D95" t="str">
            <v>W75</v>
          </cell>
          <cell r="E95">
            <v>46207.541666666664</v>
          </cell>
          <cell r="F95">
            <v>46207.791666666664</v>
          </cell>
          <cell r="G95">
            <v>6</v>
          </cell>
          <cell r="H95" t="str">
            <v>Houston</v>
          </cell>
        </row>
        <row r="96">
          <cell r="B96">
            <v>91</v>
          </cell>
          <cell r="C96" t="str">
            <v>W76</v>
          </cell>
          <cell r="D96" t="str">
            <v>W78</v>
          </cell>
          <cell r="E96">
            <v>46208.666666666664</v>
          </cell>
          <cell r="F96">
            <v>46208.916666666664</v>
          </cell>
          <cell r="G96">
            <v>3</v>
          </cell>
          <cell r="H96" t="str">
            <v>New York/New Jersey</v>
          </cell>
        </row>
        <row r="97">
          <cell r="B97">
            <v>92</v>
          </cell>
          <cell r="C97" t="str">
            <v>W79</v>
          </cell>
          <cell r="D97" t="str">
            <v>W80</v>
          </cell>
          <cell r="E97">
            <v>46208.833333333336</v>
          </cell>
          <cell r="F97">
            <v>46209.083333333336</v>
          </cell>
          <cell r="G97">
            <v>14</v>
          </cell>
          <cell r="H97" t="str">
            <v>Mexico City</v>
          </cell>
        </row>
        <row r="98">
          <cell r="B98">
            <v>93</v>
          </cell>
          <cell r="C98" t="str">
            <v>W83</v>
          </cell>
          <cell r="D98" t="str">
            <v>W84</v>
          </cell>
          <cell r="E98">
            <v>46209.625</v>
          </cell>
          <cell r="F98">
            <v>46209.875</v>
          </cell>
          <cell r="G98">
            <v>5</v>
          </cell>
          <cell r="H98" t="str">
            <v>Dallas</v>
          </cell>
        </row>
        <row r="99">
          <cell r="B99">
            <v>94</v>
          </cell>
          <cell r="C99" t="str">
            <v>W81</v>
          </cell>
          <cell r="D99" t="str">
            <v>W82</v>
          </cell>
          <cell r="E99">
            <v>46209.833333333336</v>
          </cell>
          <cell r="F99">
            <v>46210.083333333336</v>
          </cell>
          <cell r="G99">
            <v>10</v>
          </cell>
          <cell r="H99" t="str">
            <v>Seattle</v>
          </cell>
        </row>
        <row r="100">
          <cell r="B100">
            <v>95</v>
          </cell>
          <cell r="C100" t="str">
            <v>W86</v>
          </cell>
          <cell r="D100" t="str">
            <v>W88</v>
          </cell>
          <cell r="E100">
            <v>46210.5</v>
          </cell>
          <cell r="F100">
            <v>46210.75</v>
          </cell>
          <cell r="G100">
            <v>7</v>
          </cell>
          <cell r="H100" t="str">
            <v>Atlanta</v>
          </cell>
        </row>
        <row r="101">
          <cell r="B101">
            <v>96</v>
          </cell>
          <cell r="C101" t="str">
            <v>W85</v>
          </cell>
          <cell r="D101" t="str">
            <v>W87</v>
          </cell>
          <cell r="E101">
            <v>46210.666666666664</v>
          </cell>
          <cell r="F101">
            <v>46210.916666666664</v>
          </cell>
          <cell r="G101">
            <v>1</v>
          </cell>
          <cell r="H101" t="str">
            <v>Vancouver</v>
          </cell>
        </row>
        <row r="102">
          <cell r="B102" t="str">
            <v>1/4 finals</v>
          </cell>
        </row>
        <row r="103">
          <cell r="B103">
            <v>97</v>
          </cell>
          <cell r="C103" t="str">
            <v>W89</v>
          </cell>
          <cell r="D103" t="str">
            <v>W90</v>
          </cell>
          <cell r="E103">
            <v>46212.666666666664</v>
          </cell>
          <cell r="F103">
            <v>46212.916666666664</v>
          </cell>
          <cell r="G103">
            <v>12</v>
          </cell>
          <cell r="H103" t="str">
            <v>Boston</v>
          </cell>
        </row>
        <row r="104">
          <cell r="B104">
            <v>98</v>
          </cell>
          <cell r="C104" t="str">
            <v>W93</v>
          </cell>
          <cell r="D104" t="str">
            <v>W94</v>
          </cell>
          <cell r="E104">
            <v>46213.625</v>
          </cell>
          <cell r="F104">
            <v>46213.875</v>
          </cell>
          <cell r="G104">
            <v>8</v>
          </cell>
          <cell r="H104" t="str">
            <v>Los Angeles</v>
          </cell>
        </row>
        <row r="105">
          <cell r="B105">
            <v>99</v>
          </cell>
          <cell r="C105" t="str">
            <v>W91</v>
          </cell>
          <cell r="D105" t="str">
            <v>W92</v>
          </cell>
          <cell r="E105">
            <v>46214.708333333336</v>
          </cell>
          <cell r="F105">
            <v>46214.958333333336</v>
          </cell>
          <cell r="G105">
            <v>13</v>
          </cell>
          <cell r="H105" t="str">
            <v>Miami</v>
          </cell>
        </row>
        <row r="106">
          <cell r="B106">
            <v>100</v>
          </cell>
          <cell r="C106" t="str">
            <v>W95</v>
          </cell>
          <cell r="D106" t="str">
            <v>W96</v>
          </cell>
          <cell r="E106">
            <v>46214.875</v>
          </cell>
          <cell r="F106">
            <v>46215.125</v>
          </cell>
          <cell r="G106">
            <v>4</v>
          </cell>
          <cell r="H106" t="str">
            <v>Kansas City</v>
          </cell>
        </row>
        <row r="107">
          <cell r="B107" t="str">
            <v>1/2 finals</v>
          </cell>
        </row>
        <row r="108">
          <cell r="B108">
            <v>101</v>
          </cell>
          <cell r="C108" t="str">
            <v>W97</v>
          </cell>
          <cell r="D108" t="str">
            <v>W98</v>
          </cell>
          <cell r="E108">
            <v>46217.625</v>
          </cell>
          <cell r="F108">
            <v>46217.875</v>
          </cell>
          <cell r="G108">
            <v>5</v>
          </cell>
          <cell r="H108" t="str">
            <v>Dallas</v>
          </cell>
        </row>
        <row r="109">
          <cell r="B109">
            <v>102</v>
          </cell>
          <cell r="C109" t="str">
            <v>W99</v>
          </cell>
          <cell r="D109" t="str">
            <v>W100</v>
          </cell>
          <cell r="E109">
            <v>46218.625</v>
          </cell>
          <cell r="F109">
            <v>46218.875</v>
          </cell>
          <cell r="G109">
            <v>7</v>
          </cell>
          <cell r="H109" t="str">
            <v>Atlanta</v>
          </cell>
        </row>
        <row r="110">
          <cell r="B110" t="str">
            <v>Third Place</v>
          </cell>
        </row>
        <row r="111">
          <cell r="B111">
            <v>103</v>
          </cell>
          <cell r="C111" t="str">
            <v>RU101</v>
          </cell>
          <cell r="D111" t="str">
            <v>RU102</v>
          </cell>
          <cell r="E111">
            <v>46221.708333333336</v>
          </cell>
          <cell r="F111">
            <v>46221.958333333336</v>
          </cell>
          <cell r="G111">
            <v>13</v>
          </cell>
          <cell r="H111" t="str">
            <v>Miami</v>
          </cell>
        </row>
        <row r="112">
          <cell r="B112" t="str">
            <v>Final</v>
          </cell>
        </row>
        <row r="113">
          <cell r="B113">
            <v>104</v>
          </cell>
          <cell r="C113" t="str">
            <v>W101</v>
          </cell>
          <cell r="D113" t="str">
            <v>W102</v>
          </cell>
          <cell r="E113">
            <v>46222.625</v>
          </cell>
          <cell r="F113">
            <v>46222.875</v>
          </cell>
          <cell r="G113">
            <v>3</v>
          </cell>
          <cell r="H113" t="str">
            <v>New York/New Jersey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40E47-A1CA-43D9-94F9-9547FB674710}">
  <dimension ref="A1:H112"/>
  <sheetViews>
    <sheetView tabSelected="1" topLeftCell="A90" workbookViewId="0">
      <selection activeCell="I91" sqref="I91"/>
    </sheetView>
  </sheetViews>
  <sheetFormatPr baseColWidth="10" defaultRowHeight="14.4" x14ac:dyDescent="0.3"/>
  <cols>
    <col min="1" max="1" width="17.44140625" bestFit="1" customWidth="1"/>
    <col min="8" max="8" width="19.77734375" bestFit="1" customWidth="1"/>
  </cols>
  <sheetData>
    <row r="1" spans="1:8" ht="15.6" thickTop="1" thickBot="1" x14ac:dyDescent="0.35">
      <c r="A1" s="1" t="str">
        <f>[1]Language!$E$254</f>
        <v>Date</v>
      </c>
      <c r="B1" s="2" t="str">
        <f>[1]Language!$E$247</f>
        <v>Time</v>
      </c>
      <c r="C1" s="2" t="str">
        <f>[1]Language!$E$248</f>
        <v>Team 1</v>
      </c>
      <c r="D1" s="3" t="str">
        <f>[1]Language!$E$249</f>
        <v>Team 2</v>
      </c>
      <c r="E1" s="4" t="str">
        <f>[1]Language!$E$245</f>
        <v>Match No.</v>
      </c>
      <c r="F1" s="5" t="str">
        <f>[1]Language!$E$246</f>
        <v>Teams</v>
      </c>
      <c r="G1" s="5"/>
      <c r="H1" s="4" t="str">
        <f>[1]Language!$E$179</f>
        <v>Venue</v>
      </c>
    </row>
    <row r="2" spans="1:8" x14ac:dyDescent="0.3">
      <c r="A2" s="6">
        <f ca="1">INDEX([1]Matches!$B$4:$J$113,MATCH($F2,[1]Matches!$B$4:$B$113,0),5)</f>
        <v>46184.875</v>
      </c>
      <c r="B2" s="7">
        <f ca="1">INDEX([1]Matches!$B$4:$J$113,MATCH($F2,[1]Matches!$B$4:$B$113,0),5)</f>
        <v>46184.875</v>
      </c>
      <c r="C2" s="8" t="str">
        <f ca="1">INDEX([1]Matches!$B$4:$J$113,MATCH($F2,[1]Matches!$B$4:$B$113,0),8)</f>
        <v>Mexico</v>
      </c>
      <c r="D2" s="8" t="str">
        <f ca="1">INDEX([1]Matches!$B$4:$J$113,MATCH($F2,[1]Matches!$B$4:$B$113,0),9)</f>
        <v>South Africa</v>
      </c>
      <c r="E2" s="9">
        <v>1</v>
      </c>
      <c r="F2" s="10" t="str">
        <f ca="1">INDEX([1]Matches!$B$4:$J$113,MATCH($F2,[1]Matches!$B$4:$B$113,0),2)</f>
        <v>A1</v>
      </c>
      <c r="G2" s="10" t="str">
        <f ca="1">INDEX([1]Matches!$B$4:$J$113,MATCH($F2,[1]Matches!$B$4:$B$113,0),3)</f>
        <v>A2</v>
      </c>
      <c r="H2" s="10" t="str">
        <f ca="1">IFERROR(VLOOKUP($F2,[1]Matches!$B$4:$H$113,7,0),"")</f>
        <v>Mexico City</v>
      </c>
    </row>
    <row r="3" spans="1:8" x14ac:dyDescent="0.3">
      <c r="A3" s="6">
        <f ca="1">INDEX([1]Matches!$B$4:$J$113,MATCH($F3,[1]Matches!$B$4:$B$113,0),5)</f>
        <v>46185.166666666664</v>
      </c>
      <c r="B3" s="7">
        <f ca="1">INDEX([1]Matches!$B$4:$J$113,MATCH($F3,[1]Matches!$B$4:$B$113,0),5)</f>
        <v>46185.166666666664</v>
      </c>
      <c r="C3" s="8" t="str">
        <f ca="1">INDEX([1]Matches!$B$4:$J$113,MATCH($F3,[1]Matches!$B$4:$B$113,0),8)</f>
        <v>Rep. of Korea</v>
      </c>
      <c r="D3" s="8" t="str">
        <f ca="1">INDEX([1]Matches!$B$4:$J$113,MATCH($F3,[1]Matches!$B$4:$B$113,0),9)</f>
        <v>Play-Off D</v>
      </c>
      <c r="E3" s="11">
        <v>2</v>
      </c>
      <c r="F3" s="10" t="str">
        <f ca="1">INDEX([1]Matches!$B$4:$J$113,MATCH($F3,[1]Matches!$B$4:$B$113,0),2)</f>
        <v>A3</v>
      </c>
      <c r="G3" s="10" t="str">
        <f ca="1">INDEX([1]Matches!$B$4:$J$113,MATCH($F3,[1]Matches!$B$4:$B$113,0),3)</f>
        <v>A4</v>
      </c>
      <c r="H3" s="10" t="str">
        <f ca="1">IFERROR(VLOOKUP($F3,[1]Matches!$B$4:$H$113,7,0),"")</f>
        <v>Guadalajara</v>
      </c>
    </row>
    <row r="4" spans="1:8" x14ac:dyDescent="0.3">
      <c r="A4" s="6">
        <f ca="1">INDEX([1]Matches!$B$4:$J$113,MATCH($F4,[1]Matches!$B$4:$B$113,0),5)</f>
        <v>46186.125</v>
      </c>
      <c r="B4" s="7">
        <f ca="1">INDEX([1]Matches!$B$4:$J$113,MATCH($F4,[1]Matches!$B$4:$B$113,0),5)</f>
        <v>46186.125</v>
      </c>
      <c r="C4" s="8" t="str">
        <f ca="1">INDEX([1]Matches!$B$4:$J$113,MATCH($F4,[1]Matches!$B$4:$B$113,0),8)</f>
        <v>USA</v>
      </c>
      <c r="D4" s="8" t="str">
        <f ca="1">INDEX([1]Matches!$B$4:$J$113,MATCH($F4,[1]Matches!$B$4:$B$113,0),9)</f>
        <v>Paraguay</v>
      </c>
      <c r="E4" s="11">
        <v>4</v>
      </c>
      <c r="F4" s="10" t="str">
        <f ca="1">INDEX([1]Matches!$B$4:$J$113,MATCH($F4,[1]Matches!$B$4:$B$113,0),2)</f>
        <v>D1</v>
      </c>
      <c r="G4" s="10" t="str">
        <f ca="1">INDEX([1]Matches!$B$4:$J$113,MATCH($F4,[1]Matches!$B$4:$B$113,0),3)</f>
        <v>D2</v>
      </c>
      <c r="H4" s="10" t="str">
        <f ca="1">IFERROR(VLOOKUP($F4,[1]Matches!$B$4:$H$113,7,0),"")</f>
        <v>Los Angeles</v>
      </c>
    </row>
    <row r="5" spans="1:8" x14ac:dyDescent="0.3">
      <c r="A5" s="6">
        <f ca="1">INDEX([1]Matches!$B$4:$J$113,MATCH($F5,[1]Matches!$B$4:$B$113,0),5)</f>
        <v>46185.875</v>
      </c>
      <c r="B5" s="7">
        <f ca="1">INDEX([1]Matches!$B$4:$J$113,MATCH($F5,[1]Matches!$B$4:$B$113,0),5)</f>
        <v>46185.875</v>
      </c>
      <c r="C5" s="8" t="str">
        <f ca="1">INDEX([1]Matches!$B$4:$J$113,MATCH($F5,[1]Matches!$B$4:$B$113,0),8)</f>
        <v>Canada</v>
      </c>
      <c r="D5" s="8" t="str">
        <f ca="1">INDEX([1]Matches!$B$4:$J$113,MATCH($F5,[1]Matches!$B$4:$B$113,0),9)</f>
        <v>Play-Off A</v>
      </c>
      <c r="E5" s="11">
        <v>3</v>
      </c>
      <c r="F5" s="10" t="str">
        <f ca="1">INDEX([1]Matches!$B$4:$J$113,MATCH($F5,[1]Matches!$B$4:$B$113,0),2)</f>
        <v>B1</v>
      </c>
      <c r="G5" s="10" t="str">
        <f ca="1">INDEX([1]Matches!$B$4:$J$113,MATCH($F5,[1]Matches!$B$4:$B$113,0),3)</f>
        <v>B2</v>
      </c>
      <c r="H5" s="10" t="str">
        <f ca="1">IFERROR(VLOOKUP($F5,[1]Matches!$B$4:$H$113,7,0),"")</f>
        <v>Toronto</v>
      </c>
    </row>
    <row r="6" spans="1:8" x14ac:dyDescent="0.3">
      <c r="A6" s="6">
        <f ca="1">INDEX([1]Matches!$B$4:$J$113,MATCH($F6,[1]Matches!$B$4:$B$113,0),5)</f>
        <v>46187.125</v>
      </c>
      <c r="B6" s="7">
        <f ca="1">INDEX([1]Matches!$B$4:$J$113,MATCH($F6,[1]Matches!$B$4:$B$113,0),5)</f>
        <v>46187.125</v>
      </c>
      <c r="C6" s="8" t="str">
        <f ca="1">INDEX([1]Matches!$B$4:$J$113,MATCH($F6,[1]Matches!$B$4:$B$113,0),8)</f>
        <v>Haiti</v>
      </c>
      <c r="D6" s="8" t="str">
        <f ca="1">INDEX([1]Matches!$B$4:$J$113,MATCH($F6,[1]Matches!$B$4:$B$113,0),9)</f>
        <v>Scotland</v>
      </c>
      <c r="E6" s="11">
        <v>5</v>
      </c>
      <c r="F6" s="10" t="str">
        <f ca="1">INDEX([1]Matches!$B$4:$J$113,MATCH($F6,[1]Matches!$B$4:$B$113,0),2)</f>
        <v>C3</v>
      </c>
      <c r="G6" s="10" t="str">
        <f ca="1">INDEX([1]Matches!$B$4:$J$113,MATCH($F6,[1]Matches!$B$4:$B$113,0),3)</f>
        <v>C4</v>
      </c>
      <c r="H6" s="10" t="str">
        <f ca="1">IFERROR(VLOOKUP($F6,[1]Matches!$B$4:$H$113,7,0),"")</f>
        <v>Boston</v>
      </c>
    </row>
    <row r="7" spans="1:8" x14ac:dyDescent="0.3">
      <c r="A7" s="6">
        <f ca="1">INDEX([1]Matches!$B$4:$J$113,MATCH($F7,[1]Matches!$B$4:$B$113,0),5)</f>
        <v>46188.041666666664</v>
      </c>
      <c r="B7" s="7">
        <f ca="1">INDEX([1]Matches!$B$4:$J$113,MATCH($F7,[1]Matches!$B$4:$B$113,0),5)</f>
        <v>46188.041666666664</v>
      </c>
      <c r="C7" s="8" t="str">
        <f ca="1">INDEX([1]Matches!$B$4:$J$113,MATCH($F7,[1]Matches!$B$4:$B$113,0),8)</f>
        <v>Ivory Coast</v>
      </c>
      <c r="D7" s="8" t="str">
        <f ca="1">INDEX([1]Matches!$B$4:$J$113,MATCH($F7,[1]Matches!$B$4:$B$113,0),9)</f>
        <v>Ecuador</v>
      </c>
      <c r="E7" s="11">
        <v>9</v>
      </c>
      <c r="F7" s="10" t="str">
        <f ca="1">INDEX([1]Matches!$B$4:$J$113,MATCH($F7,[1]Matches!$B$4:$B$113,0),2)</f>
        <v>E3</v>
      </c>
      <c r="G7" s="10" t="str">
        <f ca="1">INDEX([1]Matches!$B$4:$J$113,MATCH($F7,[1]Matches!$B$4:$B$113,0),3)</f>
        <v>E4</v>
      </c>
      <c r="H7" s="10" t="str">
        <f ca="1">IFERROR(VLOOKUP($F7,[1]Matches!$B$4:$H$113,7,0),"")</f>
        <v>Philadelphia</v>
      </c>
    </row>
    <row r="8" spans="1:8" x14ac:dyDescent="0.3">
      <c r="A8" s="6">
        <f ca="1">INDEX([1]Matches!$B$4:$J$113,MATCH($F8,[1]Matches!$B$4:$B$113,0),5)</f>
        <v>46187.25</v>
      </c>
      <c r="B8" s="7">
        <f ca="1">INDEX([1]Matches!$B$4:$J$113,MATCH($F8,[1]Matches!$B$4:$B$113,0),5)</f>
        <v>46187.25</v>
      </c>
      <c r="C8" s="8" t="str">
        <f ca="1">INDEX([1]Matches!$B$4:$J$113,MATCH($F8,[1]Matches!$B$4:$B$113,0),8)</f>
        <v>Australia</v>
      </c>
      <c r="D8" s="8" t="str">
        <f ca="1">INDEX([1]Matches!$B$4:$J$113,MATCH($F8,[1]Matches!$B$4:$B$113,0),9)</f>
        <v>Play-Off C</v>
      </c>
      <c r="E8" s="11">
        <v>6</v>
      </c>
      <c r="F8" s="10" t="str">
        <f ca="1">INDEX([1]Matches!$B$4:$J$113,MATCH($F8,[1]Matches!$B$4:$B$113,0),2)</f>
        <v>D3</v>
      </c>
      <c r="G8" s="10" t="str">
        <f ca="1">INDEX([1]Matches!$B$4:$J$113,MATCH($F8,[1]Matches!$B$4:$B$113,0),3)</f>
        <v>D4</v>
      </c>
      <c r="H8" s="10" t="str">
        <f ca="1">IFERROR(VLOOKUP($F8,[1]Matches!$B$4:$H$113,7,0),"")</f>
        <v>Vancouver</v>
      </c>
    </row>
    <row r="9" spans="1:8" x14ac:dyDescent="0.3">
      <c r="A9" s="6">
        <f ca="1">INDEX([1]Matches!$B$4:$J$113,MATCH($F9,[1]Matches!$B$4:$B$113,0),5)</f>
        <v>46187</v>
      </c>
      <c r="B9" s="7">
        <f ca="1">INDEX([1]Matches!$B$4:$J$113,MATCH($F9,[1]Matches!$B$4:$B$113,0),5)</f>
        <v>46187</v>
      </c>
      <c r="C9" s="8" t="str">
        <f ca="1">INDEX([1]Matches!$B$4:$J$113,MATCH($F9,[1]Matches!$B$4:$B$113,0),8)</f>
        <v>Brazil</v>
      </c>
      <c r="D9" s="8" t="str">
        <f ca="1">INDEX([1]Matches!$B$4:$J$113,MATCH($F9,[1]Matches!$B$4:$B$113,0),9)</f>
        <v>Morocco</v>
      </c>
      <c r="E9" s="11">
        <v>7</v>
      </c>
      <c r="F9" s="10" t="str">
        <f ca="1">INDEX([1]Matches!$B$4:$J$113,MATCH($F9,[1]Matches!$B$4:$B$113,0),2)</f>
        <v>C1</v>
      </c>
      <c r="G9" s="10" t="str">
        <f ca="1">INDEX([1]Matches!$B$4:$J$113,MATCH($F9,[1]Matches!$B$4:$B$113,0),3)</f>
        <v>C2</v>
      </c>
      <c r="H9" s="10" t="str">
        <f ca="1">IFERROR(VLOOKUP($F9,[1]Matches!$B$4:$H$113,7,0),"")</f>
        <v>New York/New Jersey</v>
      </c>
    </row>
    <row r="10" spans="1:8" x14ac:dyDescent="0.3">
      <c r="A10" s="6">
        <f ca="1">INDEX([1]Matches!$B$4:$J$113,MATCH($F10,[1]Matches!$B$4:$B$113,0),5)</f>
        <v>46186.875</v>
      </c>
      <c r="B10" s="7">
        <f ca="1">INDEX([1]Matches!$B$4:$J$113,MATCH($F10,[1]Matches!$B$4:$B$113,0),5)</f>
        <v>46186.875</v>
      </c>
      <c r="C10" s="8" t="str">
        <f ca="1">INDEX([1]Matches!$B$4:$J$113,MATCH($F10,[1]Matches!$B$4:$B$113,0),8)</f>
        <v>Qatar</v>
      </c>
      <c r="D10" s="8" t="str">
        <f ca="1">INDEX([1]Matches!$B$4:$J$113,MATCH($F10,[1]Matches!$B$4:$B$113,0),9)</f>
        <v>Switzerland</v>
      </c>
      <c r="E10" s="11">
        <v>8</v>
      </c>
      <c r="F10" s="10" t="str">
        <f ca="1">INDEX([1]Matches!$B$4:$J$113,MATCH($F10,[1]Matches!$B$4:$B$113,0),2)</f>
        <v>B3</v>
      </c>
      <c r="G10" s="10" t="str">
        <f ca="1">INDEX([1]Matches!$B$4:$J$113,MATCH($F10,[1]Matches!$B$4:$B$113,0),3)</f>
        <v>B4</v>
      </c>
      <c r="H10" s="10" t="str">
        <f ca="1">IFERROR(VLOOKUP($F10,[1]Matches!$B$4:$H$113,7,0),"")</f>
        <v>San Francisco Bay Area</v>
      </c>
    </row>
    <row r="11" spans="1:8" x14ac:dyDescent="0.3">
      <c r="A11" s="6">
        <f ca="1">INDEX([1]Matches!$B$4:$J$113,MATCH($F11,[1]Matches!$B$4:$B$113,0),5)</f>
        <v>46188.166666666664</v>
      </c>
      <c r="B11" s="7">
        <f ca="1">INDEX([1]Matches!$B$4:$J$113,MATCH($F11,[1]Matches!$B$4:$B$113,0),5)</f>
        <v>46188.166666666664</v>
      </c>
      <c r="C11" s="8" t="str">
        <f ca="1">INDEX([1]Matches!$B$4:$J$113,MATCH($F11,[1]Matches!$B$4:$B$113,0),8)</f>
        <v>Play-Off B</v>
      </c>
      <c r="D11" s="8" t="str">
        <f ca="1">INDEX([1]Matches!$B$4:$J$113,MATCH($F11,[1]Matches!$B$4:$B$113,0),9)</f>
        <v>Tunisia</v>
      </c>
      <c r="E11" s="11">
        <v>12</v>
      </c>
      <c r="F11" s="10" t="str">
        <f ca="1">INDEX([1]Matches!$B$4:$J$113,MATCH($F11,[1]Matches!$B$4:$B$113,0),2)</f>
        <v>F3</v>
      </c>
      <c r="G11" s="10" t="str">
        <f ca="1">INDEX([1]Matches!$B$4:$J$113,MATCH($F11,[1]Matches!$B$4:$B$113,0),3)</f>
        <v>F4</v>
      </c>
      <c r="H11" s="10" t="str">
        <f ca="1">IFERROR(VLOOKUP($F11,[1]Matches!$B$4:$H$113,7,0),"")</f>
        <v>Monterrey</v>
      </c>
    </row>
    <row r="12" spans="1:8" x14ac:dyDescent="0.3">
      <c r="A12" s="6">
        <f ca="1">INDEX([1]Matches!$B$4:$J$113,MATCH($F12,[1]Matches!$B$4:$B$113,0),5)</f>
        <v>46187.791666666664</v>
      </c>
      <c r="B12" s="7">
        <f ca="1">INDEX([1]Matches!$B$4:$J$113,MATCH($F12,[1]Matches!$B$4:$B$113,0),5)</f>
        <v>46187.791666666664</v>
      </c>
      <c r="C12" s="8" t="str">
        <f ca="1">INDEX([1]Matches!$B$4:$J$113,MATCH($F12,[1]Matches!$B$4:$B$113,0),8)</f>
        <v>Germany</v>
      </c>
      <c r="D12" s="8" t="str">
        <f ca="1">INDEX([1]Matches!$B$4:$J$113,MATCH($F12,[1]Matches!$B$4:$B$113,0),9)</f>
        <v>Curaçao</v>
      </c>
      <c r="E12" s="11">
        <v>10</v>
      </c>
      <c r="F12" s="10" t="str">
        <f ca="1">INDEX([1]Matches!$B$4:$J$113,MATCH($F12,[1]Matches!$B$4:$B$113,0),2)</f>
        <v>E1</v>
      </c>
      <c r="G12" s="10" t="str">
        <f ca="1">INDEX([1]Matches!$B$4:$J$113,MATCH($F12,[1]Matches!$B$4:$B$113,0),3)</f>
        <v>E2</v>
      </c>
      <c r="H12" s="10" t="str">
        <f ca="1">IFERROR(VLOOKUP($F12,[1]Matches!$B$4:$H$113,7,0),"")</f>
        <v>Houston</v>
      </c>
    </row>
    <row r="13" spans="1:8" x14ac:dyDescent="0.3">
      <c r="A13" s="6">
        <f ca="1">INDEX([1]Matches!$B$4:$J$113,MATCH($F13,[1]Matches!$B$4:$B$113,0),5)</f>
        <v>46187.916666666664</v>
      </c>
      <c r="B13" s="7">
        <f ca="1">INDEX([1]Matches!$B$4:$J$113,MATCH($F13,[1]Matches!$B$4:$B$113,0),5)</f>
        <v>46187.916666666664</v>
      </c>
      <c r="C13" s="8" t="str">
        <f ca="1">INDEX([1]Matches!$B$4:$J$113,MATCH($F13,[1]Matches!$B$4:$B$113,0),8)</f>
        <v>Netherlands</v>
      </c>
      <c r="D13" s="8" t="str">
        <f ca="1">INDEX([1]Matches!$B$4:$J$113,MATCH($F13,[1]Matches!$B$4:$B$113,0),9)</f>
        <v>Japan</v>
      </c>
      <c r="E13" s="11">
        <v>11</v>
      </c>
      <c r="F13" s="10" t="str">
        <f ca="1">INDEX([1]Matches!$B$4:$J$113,MATCH($F13,[1]Matches!$B$4:$B$113,0),2)</f>
        <v>F1</v>
      </c>
      <c r="G13" s="10" t="str">
        <f ca="1">INDEX([1]Matches!$B$4:$J$113,MATCH($F13,[1]Matches!$B$4:$B$113,0),3)</f>
        <v>F2</v>
      </c>
      <c r="H13" s="10" t="str">
        <f ca="1">IFERROR(VLOOKUP($F13,[1]Matches!$B$4:$H$113,7,0),"")</f>
        <v>Dallas</v>
      </c>
    </row>
    <row r="14" spans="1:8" x14ac:dyDescent="0.3">
      <c r="A14" s="6">
        <f ca="1">INDEX([1]Matches!$B$4:$J$113,MATCH($F14,[1]Matches!$B$4:$B$113,0),5)</f>
        <v>46188.75</v>
      </c>
      <c r="B14" s="7">
        <f ca="1">INDEX([1]Matches!$B$4:$J$113,MATCH($F14,[1]Matches!$B$4:$B$113,0),5)</f>
        <v>46188.75</v>
      </c>
      <c r="C14" s="8" t="str">
        <f ca="1">INDEX([1]Matches!$B$4:$J$113,MATCH($F14,[1]Matches!$B$4:$B$113,0),8)</f>
        <v>Spain</v>
      </c>
      <c r="D14" s="8" t="str">
        <f ca="1">INDEX([1]Matches!$B$4:$J$113,MATCH($F14,[1]Matches!$B$4:$B$113,0),9)</f>
        <v>Cape Verde</v>
      </c>
      <c r="E14" s="11">
        <v>14</v>
      </c>
      <c r="F14" s="10" t="str">
        <f ca="1">INDEX([1]Matches!$B$4:$J$113,MATCH($F14,[1]Matches!$B$4:$B$113,0),2)</f>
        <v>H1</v>
      </c>
      <c r="G14" s="10" t="str">
        <f ca="1">INDEX([1]Matches!$B$4:$J$113,MATCH($F14,[1]Matches!$B$4:$B$113,0),3)</f>
        <v>H2</v>
      </c>
      <c r="H14" s="10" t="str">
        <f ca="1">IFERROR(VLOOKUP($F14,[1]Matches!$B$4:$H$113,7,0),"")</f>
        <v>Atlanta</v>
      </c>
    </row>
    <row r="15" spans="1:8" x14ac:dyDescent="0.3">
      <c r="A15" s="6">
        <f ca="1">INDEX([1]Matches!$B$4:$J$113,MATCH($F15,[1]Matches!$B$4:$B$113,0),5)</f>
        <v>46189.125</v>
      </c>
      <c r="B15" s="7">
        <f ca="1">INDEX([1]Matches!$B$4:$J$113,MATCH($F15,[1]Matches!$B$4:$B$113,0),5)</f>
        <v>46189.125</v>
      </c>
      <c r="C15" s="8" t="str">
        <f ca="1">INDEX([1]Matches!$B$4:$J$113,MATCH($F15,[1]Matches!$B$4:$B$113,0),8)</f>
        <v>IR Iran</v>
      </c>
      <c r="D15" s="8" t="str">
        <f ca="1">INDEX([1]Matches!$B$4:$J$113,MATCH($F15,[1]Matches!$B$4:$B$113,0),9)</f>
        <v>New Zealand</v>
      </c>
      <c r="E15" s="11">
        <v>15</v>
      </c>
      <c r="F15" s="10" t="str">
        <f ca="1">INDEX([1]Matches!$B$4:$J$113,MATCH($F15,[1]Matches!$B$4:$B$113,0),2)</f>
        <v>G3</v>
      </c>
      <c r="G15" s="10" t="str">
        <f ca="1">INDEX([1]Matches!$B$4:$J$113,MATCH($F15,[1]Matches!$B$4:$B$113,0),3)</f>
        <v>G4</v>
      </c>
      <c r="H15" s="10" t="str">
        <f ca="1">IFERROR(VLOOKUP($F15,[1]Matches!$B$4:$H$113,7,0),"")</f>
        <v>Los Angeles</v>
      </c>
    </row>
    <row r="16" spans="1:8" x14ac:dyDescent="0.3">
      <c r="A16" s="6">
        <f ca="1">INDEX([1]Matches!$B$4:$J$113,MATCH($F16,[1]Matches!$B$4:$B$113,0),5)</f>
        <v>46189</v>
      </c>
      <c r="B16" s="7">
        <f ca="1">INDEX([1]Matches!$B$4:$J$113,MATCH($F16,[1]Matches!$B$4:$B$113,0),5)</f>
        <v>46189</v>
      </c>
      <c r="C16" s="8" t="str">
        <f ca="1">INDEX([1]Matches!$B$4:$J$113,MATCH($F16,[1]Matches!$B$4:$B$113,0),8)</f>
        <v>Saudi Arabia</v>
      </c>
      <c r="D16" s="8" t="str">
        <f ca="1">INDEX([1]Matches!$B$4:$J$113,MATCH($F16,[1]Matches!$B$4:$B$113,0),9)</f>
        <v>Uruguay</v>
      </c>
      <c r="E16" s="11">
        <v>13</v>
      </c>
      <c r="F16" s="10" t="str">
        <f ca="1">INDEX([1]Matches!$B$4:$J$113,MATCH($F16,[1]Matches!$B$4:$B$113,0),2)</f>
        <v>H3</v>
      </c>
      <c r="G16" s="10" t="str">
        <f ca="1">INDEX([1]Matches!$B$4:$J$113,MATCH($F16,[1]Matches!$B$4:$B$113,0),3)</f>
        <v>H4</v>
      </c>
      <c r="H16" s="10" t="str">
        <f ca="1">IFERROR(VLOOKUP($F16,[1]Matches!$B$4:$H$113,7,0),"")</f>
        <v>Miami</v>
      </c>
    </row>
    <row r="17" spans="1:8" x14ac:dyDescent="0.3">
      <c r="A17" s="6">
        <f ca="1">INDEX([1]Matches!$B$4:$J$113,MATCH($F17,[1]Matches!$B$4:$B$113,0),5)</f>
        <v>46188.875</v>
      </c>
      <c r="B17" s="7">
        <f ca="1">INDEX([1]Matches!$B$4:$J$113,MATCH($F17,[1]Matches!$B$4:$B$113,0),5)</f>
        <v>46188.875</v>
      </c>
      <c r="C17" s="8" t="str">
        <f ca="1">INDEX([1]Matches!$B$4:$J$113,MATCH($F17,[1]Matches!$B$4:$B$113,0),8)</f>
        <v>Belgium</v>
      </c>
      <c r="D17" s="8" t="str">
        <f ca="1">INDEX([1]Matches!$B$4:$J$113,MATCH($F17,[1]Matches!$B$4:$B$113,0),9)</f>
        <v>Egypt</v>
      </c>
      <c r="E17" s="11">
        <v>16</v>
      </c>
      <c r="F17" s="10" t="str">
        <f ca="1">INDEX([1]Matches!$B$4:$J$113,MATCH($F17,[1]Matches!$B$4:$B$113,0),2)</f>
        <v>G1</v>
      </c>
      <c r="G17" s="10" t="str">
        <f ca="1">INDEX([1]Matches!$B$4:$J$113,MATCH($F17,[1]Matches!$B$4:$B$113,0),3)</f>
        <v>G2</v>
      </c>
      <c r="H17" s="10" t="str">
        <f ca="1">IFERROR(VLOOKUP($F17,[1]Matches!$B$4:$H$113,7,0),"")</f>
        <v>Seattle</v>
      </c>
    </row>
    <row r="18" spans="1:8" x14ac:dyDescent="0.3">
      <c r="A18" s="6">
        <f ca="1">INDEX([1]Matches!$B$4:$J$113,MATCH($F18,[1]Matches!$B$4:$B$113,0),5)</f>
        <v>46189.875</v>
      </c>
      <c r="B18" s="7">
        <f ca="1">INDEX([1]Matches!$B$4:$J$113,MATCH($F18,[1]Matches!$B$4:$B$113,0),5)</f>
        <v>46189.875</v>
      </c>
      <c r="C18" s="8" t="str">
        <f ca="1">INDEX([1]Matches!$B$4:$J$113,MATCH($F18,[1]Matches!$B$4:$B$113,0),8)</f>
        <v>France</v>
      </c>
      <c r="D18" s="8" t="str">
        <f ca="1">INDEX([1]Matches!$B$4:$J$113,MATCH($F18,[1]Matches!$B$4:$B$113,0),9)</f>
        <v>Senegal</v>
      </c>
      <c r="E18" s="11">
        <v>17</v>
      </c>
      <c r="F18" s="10" t="str">
        <f ca="1">INDEX([1]Matches!$B$4:$J$113,MATCH($F18,[1]Matches!$B$4:$B$113,0),2)</f>
        <v>I1</v>
      </c>
      <c r="G18" s="10" t="str">
        <f ca="1">INDEX([1]Matches!$B$4:$J$113,MATCH($F18,[1]Matches!$B$4:$B$113,0),3)</f>
        <v>I2</v>
      </c>
      <c r="H18" s="10" t="str">
        <f ca="1">IFERROR(VLOOKUP($F18,[1]Matches!$B$4:$H$113,7,0),"")</f>
        <v>New York/New Jersey</v>
      </c>
    </row>
    <row r="19" spans="1:8" x14ac:dyDescent="0.3">
      <c r="A19" s="6">
        <f ca="1">INDEX([1]Matches!$B$4:$J$113,MATCH($F19,[1]Matches!$B$4:$B$113,0),5)</f>
        <v>46190</v>
      </c>
      <c r="B19" s="7">
        <f ca="1">INDEX([1]Matches!$B$4:$J$113,MATCH($F19,[1]Matches!$B$4:$B$113,0),5)</f>
        <v>46190</v>
      </c>
      <c r="C19" s="8" t="str">
        <f ca="1">INDEX([1]Matches!$B$4:$J$113,MATCH($F19,[1]Matches!$B$4:$B$113,0),8)</f>
        <v>Play-Off 2</v>
      </c>
      <c r="D19" s="8" t="str">
        <f ca="1">INDEX([1]Matches!$B$4:$J$113,MATCH($F19,[1]Matches!$B$4:$B$113,0),9)</f>
        <v>Norway</v>
      </c>
      <c r="E19" s="11">
        <v>18</v>
      </c>
      <c r="F19" s="10" t="str">
        <f ca="1">INDEX([1]Matches!$B$4:$J$113,MATCH($F19,[1]Matches!$B$4:$B$113,0),2)</f>
        <v>I3</v>
      </c>
      <c r="G19" s="10" t="str">
        <f ca="1">INDEX([1]Matches!$B$4:$J$113,MATCH($F19,[1]Matches!$B$4:$B$113,0),3)</f>
        <v>I4</v>
      </c>
      <c r="H19" s="10" t="str">
        <f ca="1">IFERROR(VLOOKUP($F19,[1]Matches!$B$4:$H$113,7,0),"")</f>
        <v>Boston</v>
      </c>
    </row>
    <row r="20" spans="1:8" x14ac:dyDescent="0.3">
      <c r="A20" s="6">
        <f ca="1">INDEX([1]Matches!$B$4:$J$113,MATCH($F20,[1]Matches!$B$4:$B$113,0),5)</f>
        <v>46191.041666666664</v>
      </c>
      <c r="B20" s="7">
        <f ca="1">INDEX([1]Matches!$B$4:$J$113,MATCH($F20,[1]Matches!$B$4:$B$113,0),5)</f>
        <v>46191.041666666664</v>
      </c>
      <c r="C20" s="8" t="str">
        <f ca="1">INDEX([1]Matches!$B$4:$J$113,MATCH($F20,[1]Matches!$B$4:$B$113,0),8)</f>
        <v>Ghana</v>
      </c>
      <c r="D20" s="8" t="str">
        <f ca="1">INDEX([1]Matches!$B$4:$J$113,MATCH($F20,[1]Matches!$B$4:$B$113,0),9)</f>
        <v>Panama</v>
      </c>
      <c r="E20" s="11">
        <v>21</v>
      </c>
      <c r="F20" s="10" t="str">
        <f ca="1">INDEX([1]Matches!$B$4:$J$113,MATCH($F20,[1]Matches!$B$4:$B$113,0),2)</f>
        <v>L3</v>
      </c>
      <c r="G20" s="10" t="str">
        <f ca="1">INDEX([1]Matches!$B$4:$J$113,MATCH($F20,[1]Matches!$B$4:$B$113,0),3)</f>
        <v>L4</v>
      </c>
      <c r="H20" s="10" t="str">
        <f ca="1">IFERROR(VLOOKUP($F20,[1]Matches!$B$4:$H$113,7,0),"")</f>
        <v>Toronto</v>
      </c>
    </row>
    <row r="21" spans="1:8" x14ac:dyDescent="0.3">
      <c r="A21" s="6">
        <f ca="1">INDEX([1]Matches!$B$4:$J$113,MATCH($F21,[1]Matches!$B$4:$B$113,0),5)</f>
        <v>46190.25</v>
      </c>
      <c r="B21" s="7">
        <f ca="1">INDEX([1]Matches!$B$4:$J$113,MATCH($F21,[1]Matches!$B$4:$B$113,0),5)</f>
        <v>46190.25</v>
      </c>
      <c r="C21" s="8" t="str">
        <f ca="1">INDEX([1]Matches!$B$4:$J$113,MATCH($F21,[1]Matches!$B$4:$B$113,0),8)</f>
        <v>Austria</v>
      </c>
      <c r="D21" s="8" t="str">
        <f ca="1">INDEX([1]Matches!$B$4:$J$113,MATCH($F21,[1]Matches!$B$4:$B$113,0),9)</f>
        <v>Jordan</v>
      </c>
      <c r="E21" s="11">
        <v>20</v>
      </c>
      <c r="F21" s="10" t="str">
        <f ca="1">INDEX([1]Matches!$B$4:$J$113,MATCH($F21,[1]Matches!$B$4:$B$113,0),2)</f>
        <v>J3</v>
      </c>
      <c r="G21" s="10" t="str">
        <f ca="1">INDEX([1]Matches!$B$4:$J$113,MATCH($F21,[1]Matches!$B$4:$B$113,0),3)</f>
        <v>J4</v>
      </c>
      <c r="H21" s="10" t="str">
        <f ca="1">IFERROR(VLOOKUP($F21,[1]Matches!$B$4:$H$113,7,0),"")</f>
        <v>San Francisco Bay Area</v>
      </c>
    </row>
    <row r="22" spans="1:8" x14ac:dyDescent="0.3">
      <c r="A22" s="6">
        <f ca="1">INDEX([1]Matches!$B$4:$J$113,MATCH($F22,[1]Matches!$B$4:$B$113,0),5)</f>
        <v>46190.125</v>
      </c>
      <c r="B22" s="7">
        <f ca="1">INDEX([1]Matches!$B$4:$J$113,MATCH($F22,[1]Matches!$B$4:$B$113,0),5)</f>
        <v>46190.125</v>
      </c>
      <c r="C22" s="8" t="str">
        <f ca="1">INDEX([1]Matches!$B$4:$J$113,MATCH($F22,[1]Matches!$B$4:$B$113,0),8)</f>
        <v>Argentina</v>
      </c>
      <c r="D22" s="8" t="str">
        <f ca="1">INDEX([1]Matches!$B$4:$J$113,MATCH($F22,[1]Matches!$B$4:$B$113,0),9)</f>
        <v>Algeria</v>
      </c>
      <c r="E22" s="11">
        <v>19</v>
      </c>
      <c r="F22" s="10" t="str">
        <f ca="1">INDEX([1]Matches!$B$4:$J$113,MATCH($F22,[1]Matches!$B$4:$B$113,0),2)</f>
        <v>J1</v>
      </c>
      <c r="G22" s="10" t="str">
        <f ca="1">INDEX([1]Matches!$B$4:$J$113,MATCH($F22,[1]Matches!$B$4:$B$113,0),3)</f>
        <v>J2</v>
      </c>
      <c r="H22" s="10" t="str">
        <f ca="1">IFERROR(VLOOKUP($F22,[1]Matches!$B$4:$H$113,7,0),"")</f>
        <v>Kansas City</v>
      </c>
    </row>
    <row r="23" spans="1:8" x14ac:dyDescent="0.3">
      <c r="A23" s="6">
        <f ca="1">INDEX([1]Matches!$B$4:$J$113,MATCH($F23,[1]Matches!$B$4:$B$113,0),5)</f>
        <v>46190.791666666664</v>
      </c>
      <c r="B23" s="7">
        <f ca="1">INDEX([1]Matches!$B$4:$J$113,MATCH($F23,[1]Matches!$B$4:$B$113,0),5)</f>
        <v>46190.791666666664</v>
      </c>
      <c r="C23" s="8" t="str">
        <f ca="1">INDEX([1]Matches!$B$4:$J$113,MATCH($F23,[1]Matches!$B$4:$B$113,0),8)</f>
        <v>Portugal</v>
      </c>
      <c r="D23" s="8" t="str">
        <f ca="1">INDEX([1]Matches!$B$4:$J$113,MATCH($F23,[1]Matches!$B$4:$B$113,0),9)</f>
        <v>Play-Off 1</v>
      </c>
      <c r="E23" s="11">
        <v>23</v>
      </c>
      <c r="F23" s="10" t="str">
        <f ca="1">INDEX([1]Matches!$B$4:$J$113,MATCH($F23,[1]Matches!$B$4:$B$113,0),2)</f>
        <v>K1</v>
      </c>
      <c r="G23" s="10" t="str">
        <f ca="1">INDEX([1]Matches!$B$4:$J$113,MATCH($F23,[1]Matches!$B$4:$B$113,0),3)</f>
        <v>K2</v>
      </c>
      <c r="H23" s="10" t="str">
        <f ca="1">IFERROR(VLOOKUP($F23,[1]Matches!$B$4:$H$113,7,0),"")</f>
        <v>Houston</v>
      </c>
    </row>
    <row r="24" spans="1:8" x14ac:dyDescent="0.3">
      <c r="A24" s="6">
        <f ca="1">INDEX([1]Matches!$B$4:$J$113,MATCH($F24,[1]Matches!$B$4:$B$113,0),5)</f>
        <v>46191.166666666664</v>
      </c>
      <c r="B24" s="7">
        <f ca="1">INDEX([1]Matches!$B$4:$J$113,MATCH($F24,[1]Matches!$B$4:$B$113,0),5)</f>
        <v>46191.166666666664</v>
      </c>
      <c r="C24" s="8" t="str">
        <f ca="1">INDEX([1]Matches!$B$4:$J$113,MATCH($F24,[1]Matches!$B$4:$B$113,0),8)</f>
        <v>Uzbekistan</v>
      </c>
      <c r="D24" s="8" t="str">
        <f ca="1">INDEX([1]Matches!$B$4:$J$113,MATCH($F24,[1]Matches!$B$4:$B$113,0),9)</f>
        <v>Colombia</v>
      </c>
      <c r="E24" s="11">
        <v>24</v>
      </c>
      <c r="F24" s="10" t="str">
        <f ca="1">INDEX([1]Matches!$B$4:$J$113,MATCH($F24,[1]Matches!$B$4:$B$113,0),2)</f>
        <v>K3</v>
      </c>
      <c r="G24" s="10" t="str">
        <f ca="1">INDEX([1]Matches!$B$4:$J$113,MATCH($F24,[1]Matches!$B$4:$B$113,0),3)</f>
        <v>K4</v>
      </c>
      <c r="H24" s="10" t="str">
        <f ca="1">IFERROR(VLOOKUP($F24,[1]Matches!$B$4:$H$113,7,0),"")</f>
        <v>Mexico City</v>
      </c>
    </row>
    <row r="25" spans="1:8" x14ac:dyDescent="0.3">
      <c r="A25" s="6">
        <f ca="1">INDEX([1]Matches!$B$4:$J$113,MATCH($F25,[1]Matches!$B$4:$B$113,0),5)</f>
        <v>46190.916666666664</v>
      </c>
      <c r="B25" s="7">
        <f ca="1">INDEX([1]Matches!$B$4:$J$113,MATCH($F25,[1]Matches!$B$4:$B$113,0),5)</f>
        <v>46190.916666666664</v>
      </c>
      <c r="C25" s="8" t="str">
        <f ca="1">INDEX([1]Matches!$B$4:$J$113,MATCH($F25,[1]Matches!$B$4:$B$113,0),8)</f>
        <v>England</v>
      </c>
      <c r="D25" s="8" t="str">
        <f ca="1">INDEX([1]Matches!$B$4:$J$113,MATCH($F25,[1]Matches!$B$4:$B$113,0),9)</f>
        <v>Croatia</v>
      </c>
      <c r="E25" s="11">
        <v>22</v>
      </c>
      <c r="F25" s="10" t="str">
        <f ca="1">INDEX([1]Matches!$B$4:$J$113,MATCH($F25,[1]Matches!$B$4:$B$113,0),2)</f>
        <v>L1</v>
      </c>
      <c r="G25" s="10" t="str">
        <f ca="1">INDEX([1]Matches!$B$4:$J$113,MATCH($F25,[1]Matches!$B$4:$B$113,0),3)</f>
        <v>L2</v>
      </c>
      <c r="H25" s="10" t="str">
        <f ca="1">IFERROR(VLOOKUP($F25,[1]Matches!$B$4:$H$113,7,0),"")</f>
        <v>Dallas</v>
      </c>
    </row>
    <row r="26" spans="1:8" x14ac:dyDescent="0.3">
      <c r="A26" s="6">
        <f ca="1">INDEX([1]Matches!$B$4:$J$113,MATCH($F26,[1]Matches!$B$4:$B$113,0),5)</f>
        <v>46192</v>
      </c>
      <c r="B26" s="7">
        <f ca="1">INDEX([1]Matches!$B$4:$J$113,MATCH($F26,[1]Matches!$B$4:$B$113,0),5)</f>
        <v>46192</v>
      </c>
      <c r="C26" s="8" t="str">
        <f ca="1">INDEX([1]Matches!$B$4:$J$113,MATCH($F26,[1]Matches!$B$4:$B$113,0),8)</f>
        <v>Canada</v>
      </c>
      <c r="D26" s="8" t="str">
        <f ca="1">INDEX([1]Matches!$B$4:$J$113,MATCH($F26,[1]Matches!$B$4:$B$113,0),9)</f>
        <v>Qatar</v>
      </c>
      <c r="E26" s="11">
        <v>27</v>
      </c>
      <c r="F26" s="10" t="str">
        <f ca="1">INDEX([1]Matches!$B$4:$J$113,MATCH($F26,[1]Matches!$B$4:$B$113,0),2)</f>
        <v>B1</v>
      </c>
      <c r="G26" s="10" t="str">
        <f ca="1">INDEX([1]Matches!$B$4:$J$113,MATCH($F26,[1]Matches!$B$4:$B$113,0),3)</f>
        <v>B3</v>
      </c>
      <c r="H26" s="10" t="str">
        <f ca="1">IFERROR(VLOOKUP($F26,[1]Matches!$B$4:$H$113,7,0),"")</f>
        <v>Vancouver</v>
      </c>
    </row>
    <row r="27" spans="1:8" x14ac:dyDescent="0.3">
      <c r="A27" s="6">
        <f ca="1">INDEX([1]Matches!$B$4:$J$113,MATCH($F27,[1]Matches!$B$4:$B$113,0),5)</f>
        <v>46191.75</v>
      </c>
      <c r="B27" s="7">
        <f ca="1">INDEX([1]Matches!$B$4:$J$113,MATCH($F27,[1]Matches!$B$4:$B$113,0),5)</f>
        <v>46191.75</v>
      </c>
      <c r="C27" s="8" t="str">
        <f ca="1">INDEX([1]Matches!$B$4:$J$113,MATCH($F27,[1]Matches!$B$4:$B$113,0),8)</f>
        <v>Play-Off D</v>
      </c>
      <c r="D27" s="8" t="str">
        <f ca="1">INDEX([1]Matches!$B$4:$J$113,MATCH($F27,[1]Matches!$B$4:$B$113,0),9)</f>
        <v>South Africa</v>
      </c>
      <c r="E27" s="11">
        <v>25</v>
      </c>
      <c r="F27" s="10" t="str">
        <f ca="1">INDEX([1]Matches!$B$4:$J$113,MATCH($F27,[1]Matches!$B$4:$B$113,0),2)</f>
        <v>A4</v>
      </c>
      <c r="G27" s="10" t="str">
        <f ca="1">INDEX([1]Matches!$B$4:$J$113,MATCH($F27,[1]Matches!$B$4:$B$113,0),3)</f>
        <v>A2</v>
      </c>
      <c r="H27" s="10" t="str">
        <f ca="1">IFERROR(VLOOKUP($F27,[1]Matches!$B$4:$H$113,7,0),"")</f>
        <v>Atlanta</v>
      </c>
    </row>
    <row r="28" spans="1:8" x14ac:dyDescent="0.3">
      <c r="A28" s="6">
        <f ca="1">INDEX([1]Matches!$B$4:$J$113,MATCH($F28,[1]Matches!$B$4:$B$113,0),5)</f>
        <v>46191.875</v>
      </c>
      <c r="B28" s="7">
        <f ca="1">INDEX([1]Matches!$B$4:$J$113,MATCH($F28,[1]Matches!$B$4:$B$113,0),5)</f>
        <v>46191.875</v>
      </c>
      <c r="C28" s="8" t="str">
        <f ca="1">INDEX([1]Matches!$B$4:$J$113,MATCH($F28,[1]Matches!$B$4:$B$113,0),8)</f>
        <v>Switzerland</v>
      </c>
      <c r="D28" s="8" t="str">
        <f ca="1">INDEX([1]Matches!$B$4:$J$113,MATCH($F28,[1]Matches!$B$4:$B$113,0),9)</f>
        <v>Play-Off A</v>
      </c>
      <c r="E28" s="11">
        <v>26</v>
      </c>
      <c r="F28" s="10" t="str">
        <f ca="1">INDEX([1]Matches!$B$4:$J$113,MATCH($F28,[1]Matches!$B$4:$B$113,0),2)</f>
        <v>B4</v>
      </c>
      <c r="G28" s="10" t="str">
        <f ca="1">INDEX([1]Matches!$B$4:$J$113,MATCH($F28,[1]Matches!$B$4:$B$113,0),3)</f>
        <v>B2</v>
      </c>
      <c r="H28" s="10" t="str">
        <f ca="1">IFERROR(VLOOKUP($F28,[1]Matches!$B$4:$H$113,7,0),"")</f>
        <v>Los Angeles</v>
      </c>
    </row>
    <row r="29" spans="1:8" x14ac:dyDescent="0.3">
      <c r="A29" s="6">
        <f ca="1">INDEX([1]Matches!$B$4:$J$113,MATCH($F29,[1]Matches!$B$4:$B$113,0),5)</f>
        <v>46193</v>
      </c>
      <c r="B29" s="7">
        <f ca="1">INDEX([1]Matches!$B$4:$J$113,MATCH($F29,[1]Matches!$B$4:$B$113,0),5)</f>
        <v>46193</v>
      </c>
      <c r="C29" s="8" t="str">
        <f ca="1">INDEX([1]Matches!$B$4:$J$113,MATCH($F29,[1]Matches!$B$4:$B$113,0),8)</f>
        <v>Scotland</v>
      </c>
      <c r="D29" s="8" t="str">
        <f ca="1">INDEX([1]Matches!$B$4:$J$113,MATCH($F29,[1]Matches!$B$4:$B$113,0),9)</f>
        <v>Morocco</v>
      </c>
      <c r="E29" s="11">
        <v>30</v>
      </c>
      <c r="F29" s="10" t="str">
        <f ca="1">INDEX([1]Matches!$B$4:$J$113,MATCH($F29,[1]Matches!$B$4:$B$113,0),2)</f>
        <v>C4</v>
      </c>
      <c r="G29" s="10" t="str">
        <f ca="1">INDEX([1]Matches!$B$4:$J$113,MATCH($F29,[1]Matches!$B$4:$B$113,0),3)</f>
        <v>C2</v>
      </c>
      <c r="H29" s="10" t="str">
        <f ca="1">IFERROR(VLOOKUP($F29,[1]Matches!$B$4:$H$113,7,0),"")</f>
        <v>Boston</v>
      </c>
    </row>
    <row r="30" spans="1:8" x14ac:dyDescent="0.3">
      <c r="A30" s="6">
        <f ca="1">INDEX([1]Matches!$B$4:$J$113,MATCH($F30,[1]Matches!$B$4:$B$113,0),5)</f>
        <v>46192.125</v>
      </c>
      <c r="B30" s="7">
        <f ca="1">INDEX([1]Matches!$B$4:$J$113,MATCH($F30,[1]Matches!$B$4:$B$113,0),5)</f>
        <v>46192.125</v>
      </c>
      <c r="C30" s="8" t="str">
        <f ca="1">INDEX([1]Matches!$B$4:$J$113,MATCH($F30,[1]Matches!$B$4:$B$113,0),8)</f>
        <v>Mexico</v>
      </c>
      <c r="D30" s="8" t="str">
        <f ca="1">INDEX([1]Matches!$B$4:$J$113,MATCH($F30,[1]Matches!$B$4:$B$113,0),9)</f>
        <v>Rep. of Korea</v>
      </c>
      <c r="E30" s="11">
        <v>28</v>
      </c>
      <c r="F30" s="10" t="str">
        <f ca="1">INDEX([1]Matches!$B$4:$J$113,MATCH($F30,[1]Matches!$B$4:$B$113,0),2)</f>
        <v>A1</v>
      </c>
      <c r="G30" s="10" t="str">
        <f ca="1">INDEX([1]Matches!$B$4:$J$113,MATCH($F30,[1]Matches!$B$4:$B$113,0),3)</f>
        <v>A3</v>
      </c>
      <c r="H30" s="10" t="str">
        <f ca="1">IFERROR(VLOOKUP($F30,[1]Matches!$B$4:$H$113,7,0),"")</f>
        <v>Guadalajara</v>
      </c>
    </row>
    <row r="31" spans="1:8" x14ac:dyDescent="0.3">
      <c r="A31" s="6">
        <f ca="1">INDEX([1]Matches!$B$4:$J$113,MATCH($F31,[1]Matches!$B$4:$B$113,0),5)</f>
        <v>46193.125</v>
      </c>
      <c r="B31" s="7">
        <f ca="1">INDEX([1]Matches!$B$4:$J$113,MATCH($F31,[1]Matches!$B$4:$B$113,0),5)</f>
        <v>46193.125</v>
      </c>
      <c r="C31" s="8" t="str">
        <f ca="1">INDEX([1]Matches!$B$4:$J$113,MATCH($F31,[1]Matches!$B$4:$B$113,0),8)</f>
        <v>Brazil</v>
      </c>
      <c r="D31" s="8" t="str">
        <f ca="1">INDEX([1]Matches!$B$4:$J$113,MATCH($F31,[1]Matches!$B$4:$B$113,0),9)</f>
        <v>Haiti</v>
      </c>
      <c r="E31" s="11">
        <v>29</v>
      </c>
      <c r="F31" s="10" t="str">
        <f ca="1">INDEX([1]Matches!$B$4:$J$113,MATCH($F31,[1]Matches!$B$4:$B$113,0),2)</f>
        <v>C1</v>
      </c>
      <c r="G31" s="10" t="str">
        <f ca="1">INDEX([1]Matches!$B$4:$J$113,MATCH($F31,[1]Matches!$B$4:$B$113,0),3)</f>
        <v>C3</v>
      </c>
      <c r="H31" s="10" t="str">
        <f ca="1">IFERROR(VLOOKUP($F31,[1]Matches!$B$4:$H$113,7,0),"")</f>
        <v>Philadelphia</v>
      </c>
    </row>
    <row r="32" spans="1:8" x14ac:dyDescent="0.3">
      <c r="A32" s="6">
        <f ca="1">INDEX([1]Matches!$B$4:$J$113,MATCH($F32,[1]Matches!$B$4:$B$113,0),5)</f>
        <v>46192.875</v>
      </c>
      <c r="B32" s="7">
        <f ca="1">INDEX([1]Matches!$B$4:$J$113,MATCH($F32,[1]Matches!$B$4:$B$113,0),5)</f>
        <v>46192.875</v>
      </c>
      <c r="C32" s="8" t="str">
        <f ca="1">INDEX([1]Matches!$B$4:$J$113,MATCH($F32,[1]Matches!$B$4:$B$113,0),8)</f>
        <v>USA</v>
      </c>
      <c r="D32" s="8" t="str">
        <f ca="1">INDEX([1]Matches!$B$4:$J$113,MATCH($F32,[1]Matches!$B$4:$B$113,0),9)</f>
        <v>Australia</v>
      </c>
      <c r="E32" s="11">
        <v>32</v>
      </c>
      <c r="F32" s="10" t="str">
        <f ca="1">INDEX([1]Matches!$B$4:$J$113,MATCH($F32,[1]Matches!$B$4:$B$113,0),2)</f>
        <v>D1</v>
      </c>
      <c r="G32" s="10" t="str">
        <f ca="1">INDEX([1]Matches!$B$4:$J$113,MATCH($F32,[1]Matches!$B$4:$B$113,0),3)</f>
        <v>D3</v>
      </c>
      <c r="H32" s="10" t="str">
        <f ca="1">IFERROR(VLOOKUP($F32,[1]Matches!$B$4:$H$113,7,0),"")</f>
        <v>Seattle</v>
      </c>
    </row>
    <row r="33" spans="1:8" x14ac:dyDescent="0.3">
      <c r="A33" s="6">
        <f ca="1">INDEX([1]Matches!$B$4:$J$113,MATCH($F33,[1]Matches!$B$4:$B$113,0),5)</f>
        <v>46193.916666666664</v>
      </c>
      <c r="B33" s="7">
        <f ca="1">INDEX([1]Matches!$B$4:$J$113,MATCH($F33,[1]Matches!$B$4:$B$113,0),5)</f>
        <v>46193.916666666664</v>
      </c>
      <c r="C33" s="8" t="str">
        <f ca="1">INDEX([1]Matches!$B$4:$J$113,MATCH($F33,[1]Matches!$B$4:$B$113,0),8)</f>
        <v>Germany</v>
      </c>
      <c r="D33" s="8" t="str">
        <f ca="1">INDEX([1]Matches!$B$4:$J$113,MATCH($F33,[1]Matches!$B$4:$B$113,0),9)</f>
        <v>Ivory Coast</v>
      </c>
      <c r="E33" s="11">
        <v>33</v>
      </c>
      <c r="F33" s="10" t="str">
        <f ca="1">INDEX([1]Matches!$B$4:$J$113,MATCH($F33,[1]Matches!$B$4:$B$113,0),2)</f>
        <v>E1</v>
      </c>
      <c r="G33" s="10" t="str">
        <f ca="1">INDEX([1]Matches!$B$4:$J$113,MATCH($F33,[1]Matches!$B$4:$B$113,0),3)</f>
        <v>E3</v>
      </c>
      <c r="H33" s="10" t="str">
        <f ca="1">IFERROR(VLOOKUP($F33,[1]Matches!$B$4:$H$113,7,0),"")</f>
        <v>Toronto</v>
      </c>
    </row>
    <row r="34" spans="1:8" x14ac:dyDescent="0.3">
      <c r="A34" s="6">
        <f ca="1">INDEX([1]Matches!$B$4:$J$113,MATCH($F34,[1]Matches!$B$4:$B$113,0),5)</f>
        <v>46194.083333333336</v>
      </c>
      <c r="B34" s="7">
        <f ca="1">INDEX([1]Matches!$B$4:$J$113,MATCH($F34,[1]Matches!$B$4:$B$113,0),5)</f>
        <v>46194.083333333336</v>
      </c>
      <c r="C34" s="8" t="str">
        <f ca="1">INDEX([1]Matches!$B$4:$J$113,MATCH($F34,[1]Matches!$B$4:$B$113,0),8)</f>
        <v>Ecuador</v>
      </c>
      <c r="D34" s="8" t="str">
        <f ca="1">INDEX([1]Matches!$B$4:$J$113,MATCH($F34,[1]Matches!$B$4:$B$113,0),9)</f>
        <v>Curaçao</v>
      </c>
      <c r="E34" s="11">
        <v>34</v>
      </c>
      <c r="F34" s="10" t="str">
        <f ca="1">INDEX([1]Matches!$B$4:$J$113,MATCH($F34,[1]Matches!$B$4:$B$113,0),2)</f>
        <v>E4</v>
      </c>
      <c r="G34" s="10" t="str">
        <f ca="1">INDEX([1]Matches!$B$4:$J$113,MATCH($F34,[1]Matches!$B$4:$B$113,0),3)</f>
        <v>E2</v>
      </c>
      <c r="H34" s="10" t="str">
        <f ca="1">IFERROR(VLOOKUP($F34,[1]Matches!$B$4:$H$113,7,0),"")</f>
        <v>Kansas City</v>
      </c>
    </row>
    <row r="35" spans="1:8" x14ac:dyDescent="0.3">
      <c r="A35" s="6">
        <f ca="1">INDEX([1]Matches!$B$4:$J$113,MATCH($F35,[1]Matches!$B$4:$B$113,0),5)</f>
        <v>46193.25</v>
      </c>
      <c r="B35" s="7">
        <f ca="1">INDEX([1]Matches!$B$4:$J$113,MATCH($F35,[1]Matches!$B$4:$B$113,0),5)</f>
        <v>46193.25</v>
      </c>
      <c r="C35" s="8" t="str">
        <f ca="1">INDEX([1]Matches!$B$4:$J$113,MATCH($F35,[1]Matches!$B$4:$B$113,0),8)</f>
        <v>Play-Off C</v>
      </c>
      <c r="D35" s="8" t="str">
        <f ca="1">INDEX([1]Matches!$B$4:$J$113,MATCH($F35,[1]Matches!$B$4:$B$113,0),9)</f>
        <v>Paraguay</v>
      </c>
      <c r="E35" s="11">
        <v>31</v>
      </c>
      <c r="F35" s="10" t="str">
        <f ca="1">INDEX([1]Matches!$B$4:$J$113,MATCH($F35,[1]Matches!$B$4:$B$113,0),2)</f>
        <v>D4</v>
      </c>
      <c r="G35" s="10" t="str">
        <f ca="1">INDEX([1]Matches!$B$4:$J$113,MATCH($F35,[1]Matches!$B$4:$B$113,0),3)</f>
        <v>D2</v>
      </c>
      <c r="H35" s="10" t="str">
        <f ca="1">IFERROR(VLOOKUP($F35,[1]Matches!$B$4:$H$113,7,0),"")</f>
        <v>San Francisco Bay Area</v>
      </c>
    </row>
    <row r="36" spans="1:8" x14ac:dyDescent="0.3">
      <c r="A36" s="6">
        <f ca="1">INDEX([1]Matches!$B$4:$J$113,MATCH($F36,[1]Matches!$B$4:$B$113,0),5)</f>
        <v>46195</v>
      </c>
      <c r="B36" s="7">
        <f ca="1">INDEX([1]Matches!$B$4:$J$113,MATCH($F36,[1]Matches!$B$4:$B$113,0),5)</f>
        <v>46195</v>
      </c>
      <c r="C36" s="8" t="str">
        <f ca="1">INDEX([1]Matches!$B$4:$J$113,MATCH($F36,[1]Matches!$B$4:$B$113,0),8)</f>
        <v>Uruguay</v>
      </c>
      <c r="D36" s="8" t="str">
        <f ca="1">INDEX([1]Matches!$B$4:$J$113,MATCH($F36,[1]Matches!$B$4:$B$113,0),9)</f>
        <v>Cape Verde</v>
      </c>
      <c r="E36" s="11">
        <v>37</v>
      </c>
      <c r="F36" s="10" t="str">
        <f ca="1">INDEX([1]Matches!$B$4:$J$113,MATCH($F36,[1]Matches!$B$4:$B$113,0),2)</f>
        <v>H4</v>
      </c>
      <c r="G36" s="10" t="str">
        <f ca="1">INDEX([1]Matches!$B$4:$J$113,MATCH($F36,[1]Matches!$B$4:$B$113,0),3)</f>
        <v>H2</v>
      </c>
      <c r="H36" s="10" t="str">
        <f ca="1">IFERROR(VLOOKUP($F36,[1]Matches!$B$4:$H$113,7,0),"")</f>
        <v>Miami</v>
      </c>
    </row>
    <row r="37" spans="1:8" x14ac:dyDescent="0.3">
      <c r="A37" s="6">
        <f ca="1">INDEX([1]Matches!$B$4:$J$113,MATCH($F37,[1]Matches!$B$4:$B$113,0),5)</f>
        <v>46194.75</v>
      </c>
      <c r="B37" s="7">
        <f ca="1">INDEX([1]Matches!$B$4:$J$113,MATCH($F37,[1]Matches!$B$4:$B$113,0),5)</f>
        <v>46194.75</v>
      </c>
      <c r="C37" s="8" t="str">
        <f ca="1">INDEX([1]Matches!$B$4:$J$113,MATCH($F37,[1]Matches!$B$4:$B$113,0),8)</f>
        <v>Spain</v>
      </c>
      <c r="D37" s="8" t="str">
        <f ca="1">INDEX([1]Matches!$B$4:$J$113,MATCH($F37,[1]Matches!$B$4:$B$113,0),9)</f>
        <v>Saudi Arabia</v>
      </c>
      <c r="E37" s="11">
        <v>38</v>
      </c>
      <c r="F37" s="10" t="str">
        <f ca="1">INDEX([1]Matches!$B$4:$J$113,MATCH($F37,[1]Matches!$B$4:$B$113,0),2)</f>
        <v>H1</v>
      </c>
      <c r="G37" s="10" t="str">
        <f ca="1">INDEX([1]Matches!$B$4:$J$113,MATCH($F37,[1]Matches!$B$4:$B$113,0),3)</f>
        <v>H3</v>
      </c>
      <c r="H37" s="10" t="str">
        <f ca="1">IFERROR(VLOOKUP($F37,[1]Matches!$B$4:$H$113,7,0),"")</f>
        <v>Atlanta</v>
      </c>
    </row>
    <row r="38" spans="1:8" x14ac:dyDescent="0.3">
      <c r="A38" s="6">
        <f ca="1">INDEX([1]Matches!$B$4:$J$113,MATCH($F38,[1]Matches!$B$4:$B$113,0),5)</f>
        <v>46193.791666666664</v>
      </c>
      <c r="B38" s="7">
        <f ca="1">INDEX([1]Matches!$B$4:$J$113,MATCH($F38,[1]Matches!$B$4:$B$113,0),5)</f>
        <v>46193.791666666664</v>
      </c>
      <c r="C38" s="8" t="str">
        <f ca="1">INDEX([1]Matches!$B$4:$J$113,MATCH($F38,[1]Matches!$B$4:$B$113,0),8)</f>
        <v>Netherlands</v>
      </c>
      <c r="D38" s="8" t="str">
        <f ca="1">INDEX([1]Matches!$B$4:$J$113,MATCH($F38,[1]Matches!$B$4:$B$113,0),9)</f>
        <v>Play-Off B</v>
      </c>
      <c r="E38" s="11">
        <v>35</v>
      </c>
      <c r="F38" s="10" t="str">
        <f ca="1">INDEX([1]Matches!$B$4:$J$113,MATCH($F38,[1]Matches!$B$4:$B$113,0),2)</f>
        <v>F1</v>
      </c>
      <c r="G38" s="10" t="str">
        <f ca="1">INDEX([1]Matches!$B$4:$J$113,MATCH($F38,[1]Matches!$B$4:$B$113,0),3)</f>
        <v>F3</v>
      </c>
      <c r="H38" s="10" t="str">
        <f ca="1">IFERROR(VLOOKUP($F38,[1]Matches!$B$4:$H$113,7,0),"")</f>
        <v>Houston</v>
      </c>
    </row>
    <row r="39" spans="1:8" x14ac:dyDescent="0.3">
      <c r="A39" s="6">
        <f ca="1">INDEX([1]Matches!$B$4:$J$113,MATCH($F39,[1]Matches!$B$4:$B$113,0),5)</f>
        <v>46194.25</v>
      </c>
      <c r="B39" s="7">
        <f ca="1">INDEX([1]Matches!$B$4:$J$113,MATCH($F39,[1]Matches!$B$4:$B$113,0),5)</f>
        <v>46194.25</v>
      </c>
      <c r="C39" s="8" t="str">
        <f ca="1">INDEX([1]Matches!$B$4:$J$113,MATCH($F39,[1]Matches!$B$4:$B$113,0),8)</f>
        <v>Tunisia</v>
      </c>
      <c r="D39" s="8" t="str">
        <f ca="1">INDEX([1]Matches!$B$4:$J$113,MATCH($F39,[1]Matches!$B$4:$B$113,0),9)</f>
        <v>Japan</v>
      </c>
      <c r="E39" s="11">
        <v>36</v>
      </c>
      <c r="F39" s="10" t="str">
        <f ca="1">INDEX([1]Matches!$B$4:$J$113,MATCH($F39,[1]Matches!$B$4:$B$113,0),2)</f>
        <v>F4</v>
      </c>
      <c r="G39" s="10" t="str">
        <f ca="1">INDEX([1]Matches!$B$4:$J$113,MATCH($F39,[1]Matches!$B$4:$B$113,0),3)</f>
        <v>F2</v>
      </c>
      <c r="H39" s="10" t="str">
        <f ca="1">IFERROR(VLOOKUP($F39,[1]Matches!$B$4:$H$113,7,0),"")</f>
        <v>Monterrey</v>
      </c>
    </row>
    <row r="40" spans="1:8" x14ac:dyDescent="0.3">
      <c r="A40" s="6">
        <f ca="1">INDEX([1]Matches!$B$4:$J$113,MATCH($F40,[1]Matches!$B$4:$B$113,0),5)</f>
        <v>46196.083333333336</v>
      </c>
      <c r="B40" s="7">
        <f ca="1">INDEX([1]Matches!$B$4:$J$113,MATCH($F40,[1]Matches!$B$4:$B$113,0),5)</f>
        <v>46196.083333333336</v>
      </c>
      <c r="C40" s="8" t="str">
        <f ca="1">INDEX([1]Matches!$B$4:$J$113,MATCH($F40,[1]Matches!$B$4:$B$113,0),8)</f>
        <v>Norway</v>
      </c>
      <c r="D40" s="8" t="str">
        <f ca="1">INDEX([1]Matches!$B$4:$J$113,MATCH($F40,[1]Matches!$B$4:$B$113,0),9)</f>
        <v>Senegal</v>
      </c>
      <c r="E40" s="11">
        <v>41</v>
      </c>
      <c r="F40" s="10" t="str">
        <f ca="1">INDEX([1]Matches!$B$4:$J$113,MATCH($F40,[1]Matches!$B$4:$B$113,0),2)</f>
        <v>I4</v>
      </c>
      <c r="G40" s="10" t="str">
        <f ca="1">INDEX([1]Matches!$B$4:$J$113,MATCH($F40,[1]Matches!$B$4:$B$113,0),3)</f>
        <v>I2</v>
      </c>
      <c r="H40" s="10" t="str">
        <f ca="1">IFERROR(VLOOKUP($F40,[1]Matches!$B$4:$H$113,7,0),"")</f>
        <v>New York/New Jersey</v>
      </c>
    </row>
    <row r="41" spans="1:8" x14ac:dyDescent="0.3">
      <c r="A41" s="6">
        <f ca="1">INDEX([1]Matches!$B$4:$J$113,MATCH($F41,[1]Matches!$B$4:$B$113,0),5)</f>
        <v>46195.958333333336</v>
      </c>
      <c r="B41" s="7">
        <f ca="1">INDEX([1]Matches!$B$4:$J$113,MATCH($F41,[1]Matches!$B$4:$B$113,0),5)</f>
        <v>46195.958333333336</v>
      </c>
      <c r="C41" s="8" t="str">
        <f ca="1">INDEX([1]Matches!$B$4:$J$113,MATCH($F41,[1]Matches!$B$4:$B$113,0),8)</f>
        <v>France</v>
      </c>
      <c r="D41" s="8" t="str">
        <f ca="1">INDEX([1]Matches!$B$4:$J$113,MATCH($F41,[1]Matches!$B$4:$B$113,0),9)</f>
        <v>Play-Off 2</v>
      </c>
      <c r="E41" s="11">
        <v>42</v>
      </c>
      <c r="F41" s="10" t="str">
        <f ca="1">INDEX([1]Matches!$B$4:$J$113,MATCH($F41,[1]Matches!$B$4:$B$113,0),2)</f>
        <v>I1</v>
      </c>
      <c r="G41" s="10" t="str">
        <f ca="1">INDEX([1]Matches!$B$4:$J$113,MATCH($F41,[1]Matches!$B$4:$B$113,0),3)</f>
        <v>I3</v>
      </c>
      <c r="H41" s="10" t="str">
        <f ca="1">IFERROR(VLOOKUP($F41,[1]Matches!$B$4:$H$113,7,0),"")</f>
        <v>Philadelphia</v>
      </c>
    </row>
    <row r="42" spans="1:8" x14ac:dyDescent="0.3">
      <c r="A42" s="6">
        <f ca="1">INDEX([1]Matches!$B$4:$J$113,MATCH($F42,[1]Matches!$B$4:$B$113,0),5)</f>
        <v>46194.875</v>
      </c>
      <c r="B42" s="7">
        <f ca="1">INDEX([1]Matches!$B$4:$J$113,MATCH($F42,[1]Matches!$B$4:$B$113,0),5)</f>
        <v>46194.875</v>
      </c>
      <c r="C42" s="8" t="str">
        <f ca="1">INDEX([1]Matches!$B$4:$J$113,MATCH($F42,[1]Matches!$B$4:$B$113,0),8)</f>
        <v>Belgium</v>
      </c>
      <c r="D42" s="8" t="str">
        <f ca="1">INDEX([1]Matches!$B$4:$J$113,MATCH($F42,[1]Matches!$B$4:$B$113,0),9)</f>
        <v>IR Iran</v>
      </c>
      <c r="E42" s="11">
        <v>39</v>
      </c>
      <c r="F42" s="10" t="str">
        <f ca="1">INDEX([1]Matches!$B$4:$J$113,MATCH($F42,[1]Matches!$B$4:$B$113,0),2)</f>
        <v>G1</v>
      </c>
      <c r="G42" s="10" t="str">
        <f ca="1">INDEX([1]Matches!$B$4:$J$113,MATCH($F42,[1]Matches!$B$4:$B$113,0),3)</f>
        <v>G3</v>
      </c>
      <c r="H42" s="10" t="str">
        <f ca="1">IFERROR(VLOOKUP($F42,[1]Matches!$B$4:$H$113,7,0),"")</f>
        <v>Los Angeles</v>
      </c>
    </row>
    <row r="43" spans="1:8" x14ac:dyDescent="0.3">
      <c r="A43" s="6">
        <f ca="1">INDEX([1]Matches!$B$4:$J$113,MATCH($F43,[1]Matches!$B$4:$B$113,0),5)</f>
        <v>46195.125</v>
      </c>
      <c r="B43" s="7">
        <f ca="1">INDEX([1]Matches!$B$4:$J$113,MATCH($F43,[1]Matches!$B$4:$B$113,0),5)</f>
        <v>46195.125</v>
      </c>
      <c r="C43" s="8" t="str">
        <f ca="1">INDEX([1]Matches!$B$4:$J$113,MATCH($F43,[1]Matches!$B$4:$B$113,0),8)</f>
        <v>New Zealand</v>
      </c>
      <c r="D43" s="8" t="str">
        <f ca="1">INDEX([1]Matches!$B$4:$J$113,MATCH($F43,[1]Matches!$B$4:$B$113,0),9)</f>
        <v>Egypt</v>
      </c>
      <c r="E43" s="11">
        <v>40</v>
      </c>
      <c r="F43" s="10" t="str">
        <f ca="1">INDEX([1]Matches!$B$4:$J$113,MATCH($F43,[1]Matches!$B$4:$B$113,0),2)</f>
        <v>G4</v>
      </c>
      <c r="G43" s="10" t="str">
        <f ca="1">INDEX([1]Matches!$B$4:$J$113,MATCH($F43,[1]Matches!$B$4:$B$113,0),3)</f>
        <v>G2</v>
      </c>
      <c r="H43" s="10" t="str">
        <f ca="1">IFERROR(VLOOKUP($F43,[1]Matches!$B$4:$H$113,7,0),"")</f>
        <v>Vancouver</v>
      </c>
    </row>
    <row r="44" spans="1:8" x14ac:dyDescent="0.3">
      <c r="A44" s="6">
        <f ca="1">INDEX([1]Matches!$B$4:$J$113,MATCH($F44,[1]Matches!$B$4:$B$113,0),5)</f>
        <v>46196.916666666664</v>
      </c>
      <c r="B44" s="7">
        <f ca="1">INDEX([1]Matches!$B$4:$J$113,MATCH($F44,[1]Matches!$B$4:$B$113,0),5)</f>
        <v>46196.916666666664</v>
      </c>
      <c r="C44" s="8" t="str">
        <f ca="1">INDEX([1]Matches!$B$4:$J$113,MATCH($F44,[1]Matches!$B$4:$B$113,0),8)</f>
        <v>England</v>
      </c>
      <c r="D44" s="8" t="str">
        <f ca="1">INDEX([1]Matches!$B$4:$J$113,MATCH($F44,[1]Matches!$B$4:$B$113,0),9)</f>
        <v>Ghana</v>
      </c>
      <c r="E44" s="11">
        <v>45</v>
      </c>
      <c r="F44" s="10" t="str">
        <f ca="1">INDEX([1]Matches!$B$4:$J$113,MATCH($F44,[1]Matches!$B$4:$B$113,0),2)</f>
        <v>L1</v>
      </c>
      <c r="G44" s="10" t="str">
        <f ca="1">INDEX([1]Matches!$B$4:$J$113,MATCH($F44,[1]Matches!$B$4:$B$113,0),3)</f>
        <v>L3</v>
      </c>
      <c r="H44" s="10" t="str">
        <f ca="1">IFERROR(VLOOKUP($F44,[1]Matches!$B$4:$H$113,7,0),"")</f>
        <v>Boston</v>
      </c>
    </row>
    <row r="45" spans="1:8" x14ac:dyDescent="0.3">
      <c r="A45" s="6">
        <f ca="1">INDEX([1]Matches!$B$4:$J$113,MATCH($F45,[1]Matches!$B$4:$B$113,0),5)</f>
        <v>46197.041666666664</v>
      </c>
      <c r="B45" s="7">
        <f ca="1">INDEX([1]Matches!$B$4:$J$113,MATCH($F45,[1]Matches!$B$4:$B$113,0),5)</f>
        <v>46197.041666666664</v>
      </c>
      <c r="C45" s="8" t="str">
        <f ca="1">INDEX([1]Matches!$B$4:$J$113,MATCH($F45,[1]Matches!$B$4:$B$113,0),8)</f>
        <v>Panama</v>
      </c>
      <c r="D45" s="8" t="str">
        <f ca="1">INDEX([1]Matches!$B$4:$J$113,MATCH($F45,[1]Matches!$B$4:$B$113,0),9)</f>
        <v>Croatia</v>
      </c>
      <c r="E45" s="11">
        <v>46</v>
      </c>
      <c r="F45" s="10" t="str">
        <f ca="1">INDEX([1]Matches!$B$4:$J$113,MATCH($F45,[1]Matches!$B$4:$B$113,0),2)</f>
        <v>L4</v>
      </c>
      <c r="G45" s="10" t="str">
        <f ca="1">INDEX([1]Matches!$B$4:$J$113,MATCH($F45,[1]Matches!$B$4:$B$113,0),3)</f>
        <v>L2</v>
      </c>
      <c r="H45" s="10" t="str">
        <f ca="1">IFERROR(VLOOKUP($F45,[1]Matches!$B$4:$H$113,7,0),"")</f>
        <v>Toronto</v>
      </c>
    </row>
    <row r="46" spans="1:8" x14ac:dyDescent="0.3">
      <c r="A46" s="6">
        <f ca="1">INDEX([1]Matches!$B$4:$J$113,MATCH($F46,[1]Matches!$B$4:$B$113,0),5)</f>
        <v>46195.791666666664</v>
      </c>
      <c r="B46" s="7">
        <f ca="1">INDEX([1]Matches!$B$4:$J$113,MATCH($F46,[1]Matches!$B$4:$B$113,0),5)</f>
        <v>46195.791666666664</v>
      </c>
      <c r="C46" s="8" t="str">
        <f ca="1">INDEX([1]Matches!$B$4:$J$113,MATCH($F46,[1]Matches!$B$4:$B$113,0),8)</f>
        <v>Argentina</v>
      </c>
      <c r="D46" s="8" t="str">
        <f ca="1">INDEX([1]Matches!$B$4:$J$113,MATCH($F46,[1]Matches!$B$4:$B$113,0),9)</f>
        <v>Austria</v>
      </c>
      <c r="E46" s="11">
        <v>43</v>
      </c>
      <c r="F46" s="10" t="str">
        <f ca="1">INDEX([1]Matches!$B$4:$J$113,MATCH($F46,[1]Matches!$B$4:$B$113,0),2)</f>
        <v>J1</v>
      </c>
      <c r="G46" s="10" t="str">
        <f ca="1">INDEX([1]Matches!$B$4:$J$113,MATCH($F46,[1]Matches!$B$4:$B$113,0),3)</f>
        <v>J3</v>
      </c>
      <c r="H46" s="10" t="str">
        <f ca="1">IFERROR(VLOOKUP($F46,[1]Matches!$B$4:$H$113,7,0),"")</f>
        <v>Dallas</v>
      </c>
    </row>
    <row r="47" spans="1:8" x14ac:dyDescent="0.3">
      <c r="A47" s="6">
        <f ca="1">INDEX([1]Matches!$B$4:$J$113,MATCH($F47,[1]Matches!$B$4:$B$113,0),5)</f>
        <v>46196.208333333336</v>
      </c>
      <c r="B47" s="7">
        <f ca="1">INDEX([1]Matches!$B$4:$J$113,MATCH($F47,[1]Matches!$B$4:$B$113,0),5)</f>
        <v>46196.208333333336</v>
      </c>
      <c r="C47" s="8" t="str">
        <f ca="1">INDEX([1]Matches!$B$4:$J$113,MATCH($F47,[1]Matches!$B$4:$B$113,0),8)</f>
        <v>Jordan</v>
      </c>
      <c r="D47" s="8" t="str">
        <f ca="1">INDEX([1]Matches!$B$4:$J$113,MATCH($F47,[1]Matches!$B$4:$B$113,0),9)</f>
        <v>Algeria</v>
      </c>
      <c r="E47" s="11">
        <v>44</v>
      </c>
      <c r="F47" s="10" t="str">
        <f ca="1">INDEX([1]Matches!$B$4:$J$113,MATCH($F47,[1]Matches!$B$4:$B$113,0),2)</f>
        <v>J4</v>
      </c>
      <c r="G47" s="10" t="str">
        <f ca="1">INDEX([1]Matches!$B$4:$J$113,MATCH($F47,[1]Matches!$B$4:$B$113,0),3)</f>
        <v>J2</v>
      </c>
      <c r="H47" s="10" t="str">
        <f ca="1">IFERROR(VLOOKUP($F47,[1]Matches!$B$4:$H$113,7,0),"")</f>
        <v>San Francisco Bay Area</v>
      </c>
    </row>
    <row r="48" spans="1:8" x14ac:dyDescent="0.3">
      <c r="A48" s="6">
        <f ca="1">INDEX([1]Matches!$B$4:$J$113,MATCH($F48,[1]Matches!$B$4:$B$113,0),5)</f>
        <v>46196.791666666664</v>
      </c>
      <c r="B48" s="7">
        <f ca="1">INDEX([1]Matches!$B$4:$J$113,MATCH($F48,[1]Matches!$B$4:$B$113,0),5)</f>
        <v>46196.791666666664</v>
      </c>
      <c r="C48" s="8" t="str">
        <f ca="1">INDEX([1]Matches!$B$4:$J$113,MATCH($F48,[1]Matches!$B$4:$B$113,0),8)</f>
        <v>Portugal</v>
      </c>
      <c r="D48" s="8" t="str">
        <f ca="1">INDEX([1]Matches!$B$4:$J$113,MATCH($F48,[1]Matches!$B$4:$B$113,0),9)</f>
        <v>Uzbekistan</v>
      </c>
      <c r="E48" s="11">
        <v>47</v>
      </c>
      <c r="F48" s="10" t="str">
        <f ca="1">INDEX([1]Matches!$B$4:$J$113,MATCH($F48,[1]Matches!$B$4:$B$113,0),2)</f>
        <v>K1</v>
      </c>
      <c r="G48" s="10" t="str">
        <f ca="1">INDEX([1]Matches!$B$4:$J$113,MATCH($F48,[1]Matches!$B$4:$B$113,0),3)</f>
        <v>K3</v>
      </c>
      <c r="H48" s="10" t="str">
        <f ca="1">IFERROR(VLOOKUP($F48,[1]Matches!$B$4:$H$113,7,0),"")</f>
        <v>Houston</v>
      </c>
    </row>
    <row r="49" spans="1:8" x14ac:dyDescent="0.3">
      <c r="A49" s="6">
        <f ca="1">INDEX([1]Matches!$B$4:$J$113,MATCH($F49,[1]Matches!$B$4:$B$113,0),5)</f>
        <v>46197.166666666664</v>
      </c>
      <c r="B49" s="7">
        <f ca="1">INDEX([1]Matches!$B$4:$J$113,MATCH($F49,[1]Matches!$B$4:$B$113,0),5)</f>
        <v>46197.166666666664</v>
      </c>
      <c r="C49" s="8" t="str">
        <f ca="1">INDEX([1]Matches!$B$4:$J$113,MATCH($F49,[1]Matches!$B$4:$B$113,0),8)</f>
        <v>Colombia</v>
      </c>
      <c r="D49" s="8" t="str">
        <f ca="1">INDEX([1]Matches!$B$4:$J$113,MATCH($F49,[1]Matches!$B$4:$B$113,0),9)</f>
        <v>Play-Off 1</v>
      </c>
      <c r="E49" s="11">
        <v>48</v>
      </c>
      <c r="F49" s="10" t="str">
        <f ca="1">INDEX([1]Matches!$B$4:$J$113,MATCH($F49,[1]Matches!$B$4:$B$113,0),2)</f>
        <v>K4</v>
      </c>
      <c r="G49" s="10" t="str">
        <f ca="1">INDEX([1]Matches!$B$4:$J$113,MATCH($F49,[1]Matches!$B$4:$B$113,0),3)</f>
        <v>K2</v>
      </c>
      <c r="H49" s="10" t="str">
        <f ca="1">IFERROR(VLOOKUP($F49,[1]Matches!$B$4:$H$113,7,0),"")</f>
        <v>Guadalajara</v>
      </c>
    </row>
    <row r="50" spans="1:8" x14ac:dyDescent="0.3">
      <c r="A50" s="6">
        <f ca="1">INDEX([1]Matches!$B$4:$J$113,MATCH($F50,[1]Matches!$B$4:$B$113,0),5)</f>
        <v>46198</v>
      </c>
      <c r="B50" s="7">
        <f ca="1">INDEX([1]Matches!$B$4:$J$113,MATCH($F50,[1]Matches!$B$4:$B$113,0),5)</f>
        <v>46198</v>
      </c>
      <c r="C50" s="8" t="str">
        <f ca="1">INDEX([1]Matches!$B$4:$J$113,MATCH($F50,[1]Matches!$B$4:$B$113,0),8)</f>
        <v>Scotland</v>
      </c>
      <c r="D50" s="8" t="str">
        <f ca="1">INDEX([1]Matches!$B$4:$J$113,MATCH($F50,[1]Matches!$B$4:$B$113,0),9)</f>
        <v>Brazil</v>
      </c>
      <c r="E50" s="11">
        <v>49</v>
      </c>
      <c r="F50" s="10" t="str">
        <f ca="1">INDEX([1]Matches!$B$4:$J$113,MATCH($F50,[1]Matches!$B$4:$B$113,0),2)</f>
        <v>C4</v>
      </c>
      <c r="G50" s="10" t="str">
        <f ca="1">INDEX([1]Matches!$B$4:$J$113,MATCH($F50,[1]Matches!$B$4:$B$113,0),3)</f>
        <v>C1</v>
      </c>
      <c r="H50" s="10" t="str">
        <f ca="1">IFERROR(VLOOKUP($F50,[1]Matches!$B$4:$H$113,7,0),"")</f>
        <v>Miami</v>
      </c>
    </row>
    <row r="51" spans="1:8" x14ac:dyDescent="0.3">
      <c r="A51" s="6">
        <f ca="1">INDEX([1]Matches!$B$4:$J$113,MATCH($F51,[1]Matches!$B$4:$B$113,0),5)</f>
        <v>46198</v>
      </c>
      <c r="B51" s="7">
        <f ca="1">INDEX([1]Matches!$B$4:$J$113,MATCH($F51,[1]Matches!$B$4:$B$113,0),5)</f>
        <v>46198</v>
      </c>
      <c r="C51" s="8" t="str">
        <f ca="1">INDEX([1]Matches!$B$4:$J$113,MATCH($F51,[1]Matches!$B$4:$B$113,0),8)</f>
        <v>Morocco</v>
      </c>
      <c r="D51" s="8" t="str">
        <f ca="1">INDEX([1]Matches!$B$4:$J$113,MATCH($F51,[1]Matches!$B$4:$B$113,0),9)</f>
        <v>Haiti</v>
      </c>
      <c r="E51" s="11">
        <v>50</v>
      </c>
      <c r="F51" s="10" t="str">
        <f ca="1">INDEX([1]Matches!$B$4:$J$113,MATCH($F51,[1]Matches!$B$4:$B$113,0),2)</f>
        <v>C2</v>
      </c>
      <c r="G51" s="10" t="str">
        <f ca="1">INDEX([1]Matches!$B$4:$J$113,MATCH($F51,[1]Matches!$B$4:$B$113,0),3)</f>
        <v>C3</v>
      </c>
      <c r="H51" s="10" t="str">
        <f ca="1">IFERROR(VLOOKUP($F51,[1]Matches!$B$4:$H$113,7,0),"")</f>
        <v>Atlanta</v>
      </c>
    </row>
    <row r="52" spans="1:8" x14ac:dyDescent="0.3">
      <c r="A52" s="6">
        <f ca="1">INDEX([1]Matches!$B$4:$J$113,MATCH($F52,[1]Matches!$B$4:$B$113,0),5)</f>
        <v>46197.875</v>
      </c>
      <c r="B52" s="7">
        <f ca="1">INDEX([1]Matches!$B$4:$J$113,MATCH($F52,[1]Matches!$B$4:$B$113,0),5)</f>
        <v>46197.875</v>
      </c>
      <c r="C52" s="8" t="str">
        <f ca="1">INDEX([1]Matches!$B$4:$J$113,MATCH($F52,[1]Matches!$B$4:$B$113,0),8)</f>
        <v>Switzerland</v>
      </c>
      <c r="D52" s="8" t="str">
        <f ca="1">INDEX([1]Matches!$B$4:$J$113,MATCH($F52,[1]Matches!$B$4:$B$113,0),9)</f>
        <v>Canada</v>
      </c>
      <c r="E52" s="11">
        <v>51</v>
      </c>
      <c r="F52" s="10" t="str">
        <f ca="1">INDEX([1]Matches!$B$4:$J$113,MATCH($F52,[1]Matches!$B$4:$B$113,0),2)</f>
        <v>B4</v>
      </c>
      <c r="G52" s="10" t="str">
        <f ca="1">INDEX([1]Matches!$B$4:$J$113,MATCH($F52,[1]Matches!$B$4:$B$113,0),3)</f>
        <v>B1</v>
      </c>
      <c r="H52" s="10" t="str">
        <f ca="1">IFERROR(VLOOKUP($F52,[1]Matches!$B$4:$H$113,7,0),"")</f>
        <v>Vancouver</v>
      </c>
    </row>
    <row r="53" spans="1:8" x14ac:dyDescent="0.3">
      <c r="A53" s="6">
        <f ca="1">INDEX([1]Matches!$B$4:$J$113,MATCH($F53,[1]Matches!$B$4:$B$113,0),5)</f>
        <v>46197.875</v>
      </c>
      <c r="B53" s="7">
        <f ca="1">INDEX([1]Matches!$B$4:$J$113,MATCH($F53,[1]Matches!$B$4:$B$113,0),5)</f>
        <v>46197.875</v>
      </c>
      <c r="C53" s="8" t="str">
        <f ca="1">INDEX([1]Matches!$B$4:$J$113,MATCH($F53,[1]Matches!$B$4:$B$113,0),8)</f>
        <v>Play-Off A</v>
      </c>
      <c r="D53" s="8" t="str">
        <f ca="1">INDEX([1]Matches!$B$4:$J$113,MATCH($F53,[1]Matches!$B$4:$B$113,0),9)</f>
        <v>Qatar</v>
      </c>
      <c r="E53" s="11">
        <v>52</v>
      </c>
      <c r="F53" s="10" t="str">
        <f ca="1">INDEX([1]Matches!$B$4:$J$113,MATCH($F53,[1]Matches!$B$4:$B$113,0),2)</f>
        <v>B2</v>
      </c>
      <c r="G53" s="10" t="str">
        <f ca="1">INDEX([1]Matches!$B$4:$J$113,MATCH($F53,[1]Matches!$B$4:$B$113,0),3)</f>
        <v>B3</v>
      </c>
      <c r="H53" s="10" t="str">
        <f ca="1">IFERROR(VLOOKUP($F53,[1]Matches!$B$4:$H$113,7,0),"")</f>
        <v>Seattle</v>
      </c>
    </row>
    <row r="54" spans="1:8" x14ac:dyDescent="0.3">
      <c r="A54" s="6">
        <f ca="1">INDEX([1]Matches!$B$4:$J$113,MATCH($F54,[1]Matches!$B$4:$B$113,0),5)</f>
        <v>46198.125</v>
      </c>
      <c r="B54" s="7">
        <f ca="1">INDEX([1]Matches!$B$4:$J$113,MATCH($F54,[1]Matches!$B$4:$B$113,0),5)</f>
        <v>46198.125</v>
      </c>
      <c r="C54" s="8" t="str">
        <f ca="1">INDEX([1]Matches!$B$4:$J$113,MATCH($F54,[1]Matches!$B$4:$B$113,0),8)</f>
        <v>South Africa</v>
      </c>
      <c r="D54" s="8" t="str">
        <f ca="1">INDEX([1]Matches!$B$4:$J$113,MATCH($F54,[1]Matches!$B$4:$B$113,0),9)</f>
        <v>Rep. of Korea</v>
      </c>
      <c r="E54" s="11">
        <v>54</v>
      </c>
      <c r="F54" s="10" t="str">
        <f ca="1">INDEX([1]Matches!$B$4:$J$113,MATCH($F54,[1]Matches!$B$4:$B$113,0),2)</f>
        <v>A2</v>
      </c>
      <c r="G54" s="10" t="str">
        <f ca="1">INDEX([1]Matches!$B$4:$J$113,MATCH($F54,[1]Matches!$B$4:$B$113,0),3)</f>
        <v>A3</v>
      </c>
      <c r="H54" s="10" t="str">
        <f ca="1">IFERROR(VLOOKUP($F54,[1]Matches!$B$4:$H$113,7,0),"")</f>
        <v>Monterrey</v>
      </c>
    </row>
    <row r="55" spans="1:8" x14ac:dyDescent="0.3">
      <c r="A55" s="6">
        <f ca="1">INDEX([1]Matches!$B$4:$J$113,MATCH($F55,[1]Matches!$B$4:$B$113,0),5)</f>
        <v>46198.125</v>
      </c>
      <c r="B55" s="7">
        <f ca="1">INDEX([1]Matches!$B$4:$J$113,MATCH($F55,[1]Matches!$B$4:$B$113,0),5)</f>
        <v>46198.125</v>
      </c>
      <c r="C55" s="8" t="str">
        <f ca="1">INDEX([1]Matches!$B$4:$J$113,MATCH($F55,[1]Matches!$B$4:$B$113,0),8)</f>
        <v>Play-Off D</v>
      </c>
      <c r="D55" s="8" t="str">
        <f ca="1">INDEX([1]Matches!$B$4:$J$113,MATCH($F55,[1]Matches!$B$4:$B$113,0),9)</f>
        <v>Mexico</v>
      </c>
      <c r="E55" s="11">
        <v>53</v>
      </c>
      <c r="F55" s="10" t="str">
        <f ca="1">INDEX([1]Matches!$B$4:$J$113,MATCH($F55,[1]Matches!$B$4:$B$113,0),2)</f>
        <v>A4</v>
      </c>
      <c r="G55" s="10" t="str">
        <f ca="1">INDEX([1]Matches!$B$4:$J$113,MATCH($F55,[1]Matches!$B$4:$B$113,0),3)</f>
        <v>A1</v>
      </c>
      <c r="H55" s="10" t="str">
        <f ca="1">IFERROR(VLOOKUP($F55,[1]Matches!$B$4:$H$113,7,0),"")</f>
        <v>Mexico City</v>
      </c>
    </row>
    <row r="56" spans="1:8" x14ac:dyDescent="0.3">
      <c r="A56" s="6">
        <f ca="1">INDEX([1]Matches!$B$4:$J$113,MATCH($F56,[1]Matches!$B$4:$B$113,0),5)</f>
        <v>46198.916666666664</v>
      </c>
      <c r="B56" s="7">
        <f ca="1">INDEX([1]Matches!$B$4:$J$113,MATCH($F56,[1]Matches!$B$4:$B$113,0),5)</f>
        <v>46198.916666666664</v>
      </c>
      <c r="C56" s="8" t="str">
        <f ca="1">INDEX([1]Matches!$B$4:$J$113,MATCH($F56,[1]Matches!$B$4:$B$113,0),8)</f>
        <v>Ecuador</v>
      </c>
      <c r="D56" s="8" t="str">
        <f ca="1">INDEX([1]Matches!$B$4:$J$113,MATCH($F56,[1]Matches!$B$4:$B$113,0),9)</f>
        <v>Germany</v>
      </c>
      <c r="E56" s="11">
        <v>56</v>
      </c>
      <c r="F56" s="10" t="str">
        <f ca="1">INDEX([1]Matches!$B$4:$J$113,MATCH($F56,[1]Matches!$B$4:$B$113,0),2)</f>
        <v>E4</v>
      </c>
      <c r="G56" s="10" t="str">
        <f ca="1">INDEX([1]Matches!$B$4:$J$113,MATCH($F56,[1]Matches!$B$4:$B$113,0),3)</f>
        <v>E1</v>
      </c>
      <c r="H56" s="10" t="str">
        <f ca="1">IFERROR(VLOOKUP($F56,[1]Matches!$B$4:$H$113,7,0),"")</f>
        <v>New York/New Jersey</v>
      </c>
    </row>
    <row r="57" spans="1:8" x14ac:dyDescent="0.3">
      <c r="A57" s="6">
        <f ca="1">INDEX([1]Matches!$B$4:$J$113,MATCH($F57,[1]Matches!$B$4:$B$113,0),5)</f>
        <v>46198.916666666664</v>
      </c>
      <c r="B57" s="7">
        <f ca="1">INDEX([1]Matches!$B$4:$J$113,MATCH($F57,[1]Matches!$B$4:$B$113,0),5)</f>
        <v>46198.916666666664</v>
      </c>
      <c r="C57" s="8" t="str">
        <f ca="1">INDEX([1]Matches!$B$4:$J$113,MATCH($F57,[1]Matches!$B$4:$B$113,0),8)</f>
        <v>Curaçao</v>
      </c>
      <c r="D57" s="8" t="str">
        <f ca="1">INDEX([1]Matches!$B$4:$J$113,MATCH($F57,[1]Matches!$B$4:$B$113,0),9)</f>
        <v>Ivory Coast</v>
      </c>
      <c r="E57" s="11">
        <v>55</v>
      </c>
      <c r="F57" s="10" t="str">
        <f ca="1">INDEX([1]Matches!$B$4:$J$113,MATCH($F57,[1]Matches!$B$4:$B$113,0),2)</f>
        <v>E2</v>
      </c>
      <c r="G57" s="10" t="str">
        <f ca="1">INDEX([1]Matches!$B$4:$J$113,MATCH($F57,[1]Matches!$B$4:$B$113,0),3)</f>
        <v>E3</v>
      </c>
      <c r="H57" s="10" t="str">
        <f ca="1">IFERROR(VLOOKUP($F57,[1]Matches!$B$4:$H$113,7,0),"")</f>
        <v>Philadelphia</v>
      </c>
    </row>
    <row r="58" spans="1:8" x14ac:dyDescent="0.3">
      <c r="A58" s="6">
        <f ca="1">INDEX([1]Matches!$B$4:$J$113,MATCH($F58,[1]Matches!$B$4:$B$113,0),5)</f>
        <v>46199.041666666664</v>
      </c>
      <c r="B58" s="7">
        <f ca="1">INDEX([1]Matches!$B$4:$J$113,MATCH($F58,[1]Matches!$B$4:$B$113,0),5)</f>
        <v>46199.041666666664</v>
      </c>
      <c r="C58" s="8" t="str">
        <f ca="1">INDEX([1]Matches!$B$4:$J$113,MATCH($F58,[1]Matches!$B$4:$B$113,0),8)</f>
        <v>Japan</v>
      </c>
      <c r="D58" s="8" t="str">
        <f ca="1">INDEX([1]Matches!$B$4:$J$113,MATCH($F58,[1]Matches!$B$4:$B$113,0),9)</f>
        <v>Play-Off B</v>
      </c>
      <c r="E58" s="11">
        <v>57</v>
      </c>
      <c r="F58" s="10" t="str">
        <f ca="1">INDEX([1]Matches!$B$4:$J$113,MATCH($F58,[1]Matches!$B$4:$B$113,0),2)</f>
        <v>F2</v>
      </c>
      <c r="G58" s="10" t="str">
        <f ca="1">INDEX([1]Matches!$B$4:$J$113,MATCH($F58,[1]Matches!$B$4:$B$113,0),3)</f>
        <v>F3</v>
      </c>
      <c r="H58" s="10" t="str">
        <f ca="1">IFERROR(VLOOKUP($F58,[1]Matches!$B$4:$H$113,7,0),"")</f>
        <v>Dallas</v>
      </c>
    </row>
    <row r="59" spans="1:8" x14ac:dyDescent="0.3">
      <c r="A59" s="6">
        <f ca="1">INDEX([1]Matches!$B$4:$J$113,MATCH($F59,[1]Matches!$B$4:$B$113,0),5)</f>
        <v>46199.041666666664</v>
      </c>
      <c r="B59" s="7">
        <f ca="1">INDEX([1]Matches!$B$4:$J$113,MATCH($F59,[1]Matches!$B$4:$B$113,0),5)</f>
        <v>46199.041666666664</v>
      </c>
      <c r="C59" s="8" t="str">
        <f ca="1">INDEX([1]Matches!$B$4:$J$113,MATCH($F59,[1]Matches!$B$4:$B$113,0),8)</f>
        <v>Tunisia</v>
      </c>
      <c r="D59" s="8" t="str">
        <f ca="1">INDEX([1]Matches!$B$4:$J$113,MATCH($F59,[1]Matches!$B$4:$B$113,0),9)</f>
        <v>Netherlands</v>
      </c>
      <c r="E59" s="11">
        <v>58</v>
      </c>
      <c r="F59" s="10" t="str">
        <f ca="1">INDEX([1]Matches!$B$4:$J$113,MATCH($F59,[1]Matches!$B$4:$B$113,0),2)</f>
        <v>F4</v>
      </c>
      <c r="G59" s="10" t="str">
        <f ca="1">INDEX([1]Matches!$B$4:$J$113,MATCH($F59,[1]Matches!$B$4:$B$113,0),3)</f>
        <v>F1</v>
      </c>
      <c r="H59" s="10" t="str">
        <f ca="1">IFERROR(VLOOKUP($F59,[1]Matches!$B$4:$H$113,7,0),"")</f>
        <v>Kansas City</v>
      </c>
    </row>
    <row r="60" spans="1:8" x14ac:dyDescent="0.3">
      <c r="A60" s="6">
        <f ca="1">INDEX([1]Matches!$B$4:$J$113,MATCH($F60,[1]Matches!$B$4:$B$113,0),5)</f>
        <v>46199.166666666664</v>
      </c>
      <c r="B60" s="7">
        <f ca="1">INDEX([1]Matches!$B$4:$J$113,MATCH($F60,[1]Matches!$B$4:$B$113,0),5)</f>
        <v>46199.166666666664</v>
      </c>
      <c r="C60" s="8" t="str">
        <f ca="1">INDEX([1]Matches!$B$4:$J$113,MATCH($F60,[1]Matches!$B$4:$B$113,0),8)</f>
        <v>Play-Off C</v>
      </c>
      <c r="D60" s="8" t="str">
        <f ca="1">INDEX([1]Matches!$B$4:$J$113,MATCH($F60,[1]Matches!$B$4:$B$113,0),9)</f>
        <v>USA</v>
      </c>
      <c r="E60" s="11">
        <v>59</v>
      </c>
      <c r="F60" s="10" t="str">
        <f ca="1">INDEX([1]Matches!$B$4:$J$113,MATCH($F60,[1]Matches!$B$4:$B$113,0),2)</f>
        <v>D4</v>
      </c>
      <c r="G60" s="10" t="str">
        <f ca="1">INDEX([1]Matches!$B$4:$J$113,MATCH($F60,[1]Matches!$B$4:$B$113,0),3)</f>
        <v>D1</v>
      </c>
      <c r="H60" s="10" t="str">
        <f ca="1">IFERROR(VLOOKUP($F60,[1]Matches!$B$4:$H$113,7,0),"")</f>
        <v>Los Angeles</v>
      </c>
    </row>
    <row r="61" spans="1:8" x14ac:dyDescent="0.3">
      <c r="A61" s="6">
        <f ca="1">INDEX([1]Matches!$B$4:$J$113,MATCH($F61,[1]Matches!$B$4:$B$113,0),5)</f>
        <v>46199.166666666664</v>
      </c>
      <c r="B61" s="7">
        <f ca="1">INDEX([1]Matches!$B$4:$J$113,MATCH($F61,[1]Matches!$B$4:$B$113,0),5)</f>
        <v>46199.166666666664</v>
      </c>
      <c r="C61" s="8" t="str">
        <f ca="1">INDEX([1]Matches!$B$4:$J$113,MATCH($F61,[1]Matches!$B$4:$B$113,0),8)</f>
        <v>Paraguay</v>
      </c>
      <c r="D61" s="8" t="str">
        <f ca="1">INDEX([1]Matches!$B$4:$J$113,MATCH($F61,[1]Matches!$B$4:$B$113,0),9)</f>
        <v>Australia</v>
      </c>
      <c r="E61" s="11">
        <v>60</v>
      </c>
      <c r="F61" s="10" t="str">
        <f ca="1">INDEX([1]Matches!$B$4:$J$113,MATCH($F61,[1]Matches!$B$4:$B$113,0),2)</f>
        <v>D2</v>
      </c>
      <c r="G61" s="10" t="str">
        <f ca="1">INDEX([1]Matches!$B$4:$J$113,MATCH($F61,[1]Matches!$B$4:$B$113,0),3)</f>
        <v>D3</v>
      </c>
      <c r="H61" s="10" t="str">
        <f ca="1">IFERROR(VLOOKUP($F61,[1]Matches!$B$4:$H$113,7,0),"")</f>
        <v>San Francisco Bay Area</v>
      </c>
    </row>
    <row r="62" spans="1:8" x14ac:dyDescent="0.3">
      <c r="A62" s="6">
        <f ca="1">INDEX([1]Matches!$B$4:$J$113,MATCH($F62,[1]Matches!$B$4:$B$113,0),5)</f>
        <v>46199.875</v>
      </c>
      <c r="B62" s="7">
        <f ca="1">INDEX([1]Matches!$B$4:$J$113,MATCH($F62,[1]Matches!$B$4:$B$113,0),5)</f>
        <v>46199.875</v>
      </c>
      <c r="C62" s="8" t="str">
        <f ca="1">INDEX([1]Matches!$B$4:$J$113,MATCH($F62,[1]Matches!$B$4:$B$113,0),8)</f>
        <v>Norway</v>
      </c>
      <c r="D62" s="8" t="str">
        <f ca="1">INDEX([1]Matches!$B$4:$J$113,MATCH($F62,[1]Matches!$B$4:$B$113,0),9)</f>
        <v>France</v>
      </c>
      <c r="E62" s="11">
        <v>61</v>
      </c>
      <c r="F62" s="10" t="str">
        <f ca="1">INDEX([1]Matches!$B$4:$J$113,MATCH($F62,[1]Matches!$B$4:$B$113,0),2)</f>
        <v>I4</v>
      </c>
      <c r="G62" s="10" t="str">
        <f ca="1">INDEX([1]Matches!$B$4:$J$113,MATCH($F62,[1]Matches!$B$4:$B$113,0),3)</f>
        <v>I1</v>
      </c>
      <c r="H62" s="10" t="str">
        <f ca="1">IFERROR(VLOOKUP($F62,[1]Matches!$B$4:$H$113,7,0),"")</f>
        <v>Boston</v>
      </c>
    </row>
    <row r="63" spans="1:8" x14ac:dyDescent="0.3">
      <c r="A63" s="6">
        <f ca="1">INDEX([1]Matches!$B$4:$J$113,MATCH($F63,[1]Matches!$B$4:$B$113,0),5)</f>
        <v>46199.875</v>
      </c>
      <c r="B63" s="7">
        <f ca="1">INDEX([1]Matches!$B$4:$J$113,MATCH($F63,[1]Matches!$B$4:$B$113,0),5)</f>
        <v>46199.875</v>
      </c>
      <c r="C63" s="8" t="str">
        <f ca="1">INDEX([1]Matches!$B$4:$J$113,MATCH($F63,[1]Matches!$B$4:$B$113,0),8)</f>
        <v>Senegal</v>
      </c>
      <c r="D63" s="8" t="str">
        <f ca="1">INDEX([1]Matches!$B$4:$J$113,MATCH($F63,[1]Matches!$B$4:$B$113,0),9)</f>
        <v>Play-Off 2</v>
      </c>
      <c r="E63" s="11">
        <v>62</v>
      </c>
      <c r="F63" s="10" t="str">
        <f ca="1">INDEX([1]Matches!$B$4:$J$113,MATCH($F63,[1]Matches!$B$4:$B$113,0),2)</f>
        <v>I2</v>
      </c>
      <c r="G63" s="10" t="str">
        <f ca="1">INDEX([1]Matches!$B$4:$J$113,MATCH($F63,[1]Matches!$B$4:$B$113,0),3)</f>
        <v>I3</v>
      </c>
      <c r="H63" s="10" t="str">
        <f ca="1">IFERROR(VLOOKUP($F63,[1]Matches!$B$4:$H$113,7,0),"")</f>
        <v>Toronto</v>
      </c>
    </row>
    <row r="64" spans="1:8" x14ac:dyDescent="0.3">
      <c r="A64" s="6">
        <f ca="1">INDEX([1]Matches!$B$4:$J$113,MATCH($F64,[1]Matches!$B$4:$B$113,0),5)</f>
        <v>46200.208333333336</v>
      </c>
      <c r="B64" s="7">
        <f ca="1">INDEX([1]Matches!$B$4:$J$113,MATCH($F64,[1]Matches!$B$4:$B$113,0),5)</f>
        <v>46200.208333333336</v>
      </c>
      <c r="C64" s="8" t="str">
        <f ca="1">INDEX([1]Matches!$B$4:$J$113,MATCH($F64,[1]Matches!$B$4:$B$113,0),8)</f>
        <v>Egypt</v>
      </c>
      <c r="D64" s="8" t="str">
        <f ca="1">INDEX([1]Matches!$B$4:$J$113,MATCH($F64,[1]Matches!$B$4:$B$113,0),9)</f>
        <v>IR Iran</v>
      </c>
      <c r="E64" s="11">
        <v>63</v>
      </c>
      <c r="F64" s="10" t="str">
        <f ca="1">INDEX([1]Matches!$B$4:$J$113,MATCH($F64,[1]Matches!$B$4:$B$113,0),2)</f>
        <v>G2</v>
      </c>
      <c r="G64" s="10" t="str">
        <f ca="1">INDEX([1]Matches!$B$4:$J$113,MATCH($F64,[1]Matches!$B$4:$B$113,0),3)</f>
        <v>G3</v>
      </c>
      <c r="H64" s="10" t="str">
        <f ca="1">IFERROR(VLOOKUP($F64,[1]Matches!$B$4:$H$113,7,0),"")</f>
        <v>Seattle</v>
      </c>
    </row>
    <row r="65" spans="1:8" x14ac:dyDescent="0.3">
      <c r="A65" s="6">
        <f ca="1">INDEX([1]Matches!$B$4:$J$113,MATCH($F65,[1]Matches!$B$4:$B$113,0),5)</f>
        <v>46200.208333333336</v>
      </c>
      <c r="B65" s="7">
        <f ca="1">INDEX([1]Matches!$B$4:$J$113,MATCH($F65,[1]Matches!$B$4:$B$113,0),5)</f>
        <v>46200.208333333336</v>
      </c>
      <c r="C65" s="8" t="str">
        <f ca="1">INDEX([1]Matches!$B$4:$J$113,MATCH($F65,[1]Matches!$B$4:$B$113,0),8)</f>
        <v>New Zealand</v>
      </c>
      <c r="D65" s="8" t="str">
        <f ca="1">INDEX([1]Matches!$B$4:$J$113,MATCH($F65,[1]Matches!$B$4:$B$113,0),9)</f>
        <v>Belgium</v>
      </c>
      <c r="E65" s="11">
        <v>64</v>
      </c>
      <c r="F65" s="10" t="str">
        <f ca="1">INDEX([1]Matches!$B$4:$J$113,MATCH($F65,[1]Matches!$B$4:$B$113,0),2)</f>
        <v>G4</v>
      </c>
      <c r="G65" s="10" t="str">
        <f ca="1">INDEX([1]Matches!$B$4:$J$113,MATCH($F65,[1]Matches!$B$4:$B$113,0),3)</f>
        <v>G1</v>
      </c>
      <c r="H65" s="10" t="str">
        <f ca="1">IFERROR(VLOOKUP($F65,[1]Matches!$B$4:$H$113,7,0),"")</f>
        <v>Vancouver</v>
      </c>
    </row>
    <row r="66" spans="1:8" x14ac:dyDescent="0.3">
      <c r="A66" s="6">
        <f ca="1">INDEX([1]Matches!$B$4:$J$113,MATCH($F66,[1]Matches!$B$4:$B$113,0),5)</f>
        <v>46200.083333333336</v>
      </c>
      <c r="B66" s="7">
        <f ca="1">INDEX([1]Matches!$B$4:$J$113,MATCH($F66,[1]Matches!$B$4:$B$113,0),5)</f>
        <v>46200.083333333336</v>
      </c>
      <c r="C66" s="8" t="str">
        <f ca="1">INDEX([1]Matches!$B$4:$J$113,MATCH($F66,[1]Matches!$B$4:$B$113,0),8)</f>
        <v>Cape Verde</v>
      </c>
      <c r="D66" s="8" t="str">
        <f ca="1">INDEX([1]Matches!$B$4:$J$113,MATCH($F66,[1]Matches!$B$4:$B$113,0),9)</f>
        <v>Saudi Arabia</v>
      </c>
      <c r="E66" s="11">
        <v>65</v>
      </c>
      <c r="F66" s="10" t="str">
        <f ca="1">INDEX([1]Matches!$B$4:$J$113,MATCH($F66,[1]Matches!$B$4:$B$113,0),2)</f>
        <v>H2</v>
      </c>
      <c r="G66" s="10" t="str">
        <f ca="1">INDEX([1]Matches!$B$4:$J$113,MATCH($F66,[1]Matches!$B$4:$B$113,0),3)</f>
        <v>H3</v>
      </c>
      <c r="H66" s="10" t="str">
        <f ca="1">IFERROR(VLOOKUP($F66,[1]Matches!$B$4:$H$113,7,0),"")</f>
        <v>Houston</v>
      </c>
    </row>
    <row r="67" spans="1:8" x14ac:dyDescent="0.3">
      <c r="A67" s="6">
        <f ca="1">INDEX([1]Matches!$B$4:$J$113,MATCH($F67,[1]Matches!$B$4:$B$113,0),5)</f>
        <v>46200.083333333336</v>
      </c>
      <c r="B67" s="7">
        <f ca="1">INDEX([1]Matches!$B$4:$J$113,MATCH($F67,[1]Matches!$B$4:$B$113,0),5)</f>
        <v>46200.083333333336</v>
      </c>
      <c r="C67" s="8" t="str">
        <f ca="1">INDEX([1]Matches!$B$4:$J$113,MATCH($F67,[1]Matches!$B$4:$B$113,0),8)</f>
        <v>Uruguay</v>
      </c>
      <c r="D67" s="8" t="str">
        <f ca="1">INDEX([1]Matches!$B$4:$J$113,MATCH($F67,[1]Matches!$B$4:$B$113,0),9)</f>
        <v>Spain</v>
      </c>
      <c r="E67" s="11">
        <v>66</v>
      </c>
      <c r="F67" s="10" t="str">
        <f ca="1">INDEX([1]Matches!$B$4:$J$113,MATCH($F67,[1]Matches!$B$4:$B$113,0),2)</f>
        <v>H4</v>
      </c>
      <c r="G67" s="10" t="str">
        <f ca="1">INDEX([1]Matches!$B$4:$J$113,MATCH($F67,[1]Matches!$B$4:$B$113,0),3)</f>
        <v>H1</v>
      </c>
      <c r="H67" s="10" t="str">
        <f ca="1">IFERROR(VLOOKUP($F67,[1]Matches!$B$4:$H$113,7,0),"")</f>
        <v>Guadalajara</v>
      </c>
    </row>
    <row r="68" spans="1:8" x14ac:dyDescent="0.3">
      <c r="A68" s="6">
        <f ca="1">INDEX([1]Matches!$B$4:$J$113,MATCH($F68,[1]Matches!$B$4:$B$113,0),5)</f>
        <v>46200.958333333336</v>
      </c>
      <c r="B68" s="7">
        <f ca="1">INDEX([1]Matches!$B$4:$J$113,MATCH($F68,[1]Matches!$B$4:$B$113,0),5)</f>
        <v>46200.958333333336</v>
      </c>
      <c r="C68" s="8" t="str">
        <f ca="1">INDEX([1]Matches!$B$4:$J$113,MATCH($F68,[1]Matches!$B$4:$B$113,0),8)</f>
        <v>Panama</v>
      </c>
      <c r="D68" s="8" t="str">
        <f ca="1">INDEX([1]Matches!$B$4:$J$113,MATCH($F68,[1]Matches!$B$4:$B$113,0),9)</f>
        <v>England</v>
      </c>
      <c r="E68" s="11">
        <v>67</v>
      </c>
      <c r="F68" s="10" t="str">
        <f ca="1">INDEX([1]Matches!$B$4:$J$113,MATCH($F68,[1]Matches!$B$4:$B$113,0),2)</f>
        <v>L4</v>
      </c>
      <c r="G68" s="10" t="str">
        <f ca="1">INDEX([1]Matches!$B$4:$J$113,MATCH($F68,[1]Matches!$B$4:$B$113,0),3)</f>
        <v>L1</v>
      </c>
      <c r="H68" s="10" t="str">
        <f ca="1">IFERROR(VLOOKUP($F68,[1]Matches!$B$4:$H$113,7,0),"")</f>
        <v>New York/New Jersey</v>
      </c>
    </row>
    <row r="69" spans="1:8" x14ac:dyDescent="0.3">
      <c r="A69" s="6">
        <f ca="1">INDEX([1]Matches!$B$4:$J$113,MATCH($F69,[1]Matches!$B$4:$B$113,0),5)</f>
        <v>46200.958333333336</v>
      </c>
      <c r="B69" s="7">
        <f ca="1">INDEX([1]Matches!$B$4:$J$113,MATCH($F69,[1]Matches!$B$4:$B$113,0),5)</f>
        <v>46200.958333333336</v>
      </c>
      <c r="C69" s="8" t="str">
        <f ca="1">INDEX([1]Matches!$B$4:$J$113,MATCH($F69,[1]Matches!$B$4:$B$113,0),8)</f>
        <v>Croatia</v>
      </c>
      <c r="D69" s="8" t="str">
        <f ca="1">INDEX([1]Matches!$B$4:$J$113,MATCH($F69,[1]Matches!$B$4:$B$113,0),9)</f>
        <v>Ghana</v>
      </c>
      <c r="E69" s="11">
        <v>68</v>
      </c>
      <c r="F69" s="10" t="str">
        <f ca="1">INDEX([1]Matches!$B$4:$J$113,MATCH($F69,[1]Matches!$B$4:$B$113,0),2)</f>
        <v>L2</v>
      </c>
      <c r="G69" s="10" t="str">
        <f ca="1">INDEX([1]Matches!$B$4:$J$113,MATCH($F69,[1]Matches!$B$4:$B$113,0),3)</f>
        <v>L3</v>
      </c>
      <c r="H69" s="10" t="str">
        <f ca="1">IFERROR(VLOOKUP($F69,[1]Matches!$B$4:$H$113,7,0),"")</f>
        <v>Philadelphia</v>
      </c>
    </row>
    <row r="70" spans="1:8" x14ac:dyDescent="0.3">
      <c r="A70" s="6">
        <f ca="1">INDEX([1]Matches!$B$4:$J$113,MATCH($F70,[1]Matches!$B$4:$B$113,0),5)</f>
        <v>46201.166666666664</v>
      </c>
      <c r="B70" s="7">
        <f ca="1">INDEX([1]Matches!$B$4:$J$113,MATCH($F70,[1]Matches!$B$4:$B$113,0),5)</f>
        <v>46201.166666666664</v>
      </c>
      <c r="C70" s="8" t="str">
        <f ca="1">INDEX([1]Matches!$B$4:$J$113,MATCH($F70,[1]Matches!$B$4:$B$113,0),8)</f>
        <v>Algeria</v>
      </c>
      <c r="D70" s="8" t="str">
        <f ca="1">INDEX([1]Matches!$B$4:$J$113,MATCH($F70,[1]Matches!$B$4:$B$113,0),9)</f>
        <v>Austria</v>
      </c>
      <c r="E70" s="11">
        <v>69</v>
      </c>
      <c r="F70" s="10" t="str">
        <f ca="1">INDEX([1]Matches!$B$4:$J$113,MATCH($F70,[1]Matches!$B$4:$B$113,0),2)</f>
        <v>J2</v>
      </c>
      <c r="G70" s="10" t="str">
        <f ca="1">INDEX([1]Matches!$B$4:$J$113,MATCH($F70,[1]Matches!$B$4:$B$113,0),3)</f>
        <v>J3</v>
      </c>
      <c r="H70" s="10" t="str">
        <f ca="1">IFERROR(VLOOKUP($F70,[1]Matches!$B$4:$H$113,7,0),"")</f>
        <v>Kansas City</v>
      </c>
    </row>
    <row r="71" spans="1:8" x14ac:dyDescent="0.3">
      <c r="A71" s="6">
        <f ca="1">INDEX([1]Matches!$B$4:$J$113,MATCH($F71,[1]Matches!$B$4:$B$113,0),5)</f>
        <v>46201.166666666664</v>
      </c>
      <c r="B71" s="7">
        <f ca="1">INDEX([1]Matches!$B$4:$J$113,MATCH($F71,[1]Matches!$B$4:$B$113,0),5)</f>
        <v>46201.166666666664</v>
      </c>
      <c r="C71" s="8" t="str">
        <f ca="1">INDEX([1]Matches!$B$4:$J$113,MATCH($F71,[1]Matches!$B$4:$B$113,0),8)</f>
        <v>Jordan</v>
      </c>
      <c r="D71" s="8" t="str">
        <f ca="1">INDEX([1]Matches!$B$4:$J$113,MATCH($F71,[1]Matches!$B$4:$B$113,0),9)</f>
        <v>Argentina</v>
      </c>
      <c r="E71" s="11">
        <v>70</v>
      </c>
      <c r="F71" s="10" t="str">
        <f ca="1">INDEX([1]Matches!$B$4:$J$113,MATCH($F71,[1]Matches!$B$4:$B$113,0),2)</f>
        <v>J4</v>
      </c>
      <c r="G71" s="10" t="str">
        <f ca="1">INDEX([1]Matches!$B$4:$J$113,MATCH($F71,[1]Matches!$B$4:$B$113,0),3)</f>
        <v>J1</v>
      </c>
      <c r="H71" s="10" t="str">
        <f ca="1">IFERROR(VLOOKUP($F71,[1]Matches!$B$4:$H$113,7,0),"")</f>
        <v>Dallas</v>
      </c>
    </row>
    <row r="72" spans="1:8" x14ac:dyDescent="0.3">
      <c r="A72" s="6">
        <f ca="1">INDEX([1]Matches!$B$4:$J$113,MATCH($F72,[1]Matches!$B$4:$B$113,0),5)</f>
        <v>46201.0625</v>
      </c>
      <c r="B72" s="7">
        <f ca="1">INDEX([1]Matches!$B$4:$J$113,MATCH($F72,[1]Matches!$B$4:$B$113,0),5)</f>
        <v>46201.0625</v>
      </c>
      <c r="C72" s="8" t="str">
        <f ca="1">INDEX([1]Matches!$B$4:$J$113,MATCH($F72,[1]Matches!$B$4:$B$113,0),8)</f>
        <v>Colombia</v>
      </c>
      <c r="D72" s="8" t="str">
        <f ca="1">INDEX([1]Matches!$B$4:$J$113,MATCH($F72,[1]Matches!$B$4:$B$113,0),9)</f>
        <v>Portugal</v>
      </c>
      <c r="E72" s="11">
        <v>71</v>
      </c>
      <c r="F72" s="10" t="str">
        <f ca="1">INDEX([1]Matches!$B$4:$J$113,MATCH($F72,[1]Matches!$B$4:$B$113,0),2)</f>
        <v>K4</v>
      </c>
      <c r="G72" s="10" t="str">
        <f ca="1">INDEX([1]Matches!$B$4:$J$113,MATCH($F72,[1]Matches!$B$4:$B$113,0),3)</f>
        <v>K1</v>
      </c>
      <c r="H72" s="10" t="str">
        <f ca="1">IFERROR(VLOOKUP($F72,[1]Matches!$B$4:$H$113,7,0),"")</f>
        <v>Miami</v>
      </c>
    </row>
    <row r="73" spans="1:8" x14ac:dyDescent="0.3">
      <c r="A73" s="6">
        <f ca="1">INDEX([1]Matches!$B$4:$J$113,MATCH($F73,[1]Matches!$B$4:$B$113,0),5)</f>
        <v>46201.0625</v>
      </c>
      <c r="B73" s="7">
        <f ca="1">INDEX([1]Matches!$B$4:$J$113,MATCH($F73,[1]Matches!$B$4:$B$113,0),5)</f>
        <v>46201.0625</v>
      </c>
      <c r="C73" s="8" t="str">
        <f ca="1">INDEX([1]Matches!$B$4:$J$113,MATCH($F73,[1]Matches!$B$4:$B$113,0),8)</f>
        <v>Play-Off 1</v>
      </c>
      <c r="D73" s="8" t="str">
        <f ca="1">INDEX([1]Matches!$B$4:$J$113,MATCH($F73,[1]Matches!$B$4:$B$113,0),9)</f>
        <v>Uzbekistan</v>
      </c>
      <c r="E73" s="11">
        <v>72</v>
      </c>
      <c r="F73" s="10" t="str">
        <f ca="1">INDEX([1]Matches!$B$4:$J$113,MATCH($F73,[1]Matches!$B$4:$B$113,0),2)</f>
        <v>K2</v>
      </c>
      <c r="G73" s="10" t="str">
        <f ca="1">INDEX([1]Matches!$B$4:$J$113,MATCH($F73,[1]Matches!$B$4:$B$113,0),3)</f>
        <v>K3</v>
      </c>
      <c r="H73" s="10" t="str">
        <f ca="1">IFERROR(VLOOKUP($F73,[1]Matches!$B$4:$H$113,7,0),"")</f>
        <v>Atlanta</v>
      </c>
    </row>
    <row r="74" spans="1:8" x14ac:dyDescent="0.3">
      <c r="A74" s="12" t="str">
        <f>[1]Language!$E$250</f>
        <v>Round of 32</v>
      </c>
      <c r="B74" s="13"/>
      <c r="C74" s="14"/>
      <c r="D74" s="14"/>
      <c r="E74" s="15"/>
      <c r="F74" s="16"/>
      <c r="G74" s="17"/>
      <c r="H74" s="17"/>
    </row>
    <row r="75" spans="1:8" x14ac:dyDescent="0.3">
      <c r="A75" s="6">
        <f ca="1">INDEX([1]Matches!$B$4:$J$113,MATCH($F75,[1]Matches!$B$4:$B$113,0),5)</f>
        <v>46201.875</v>
      </c>
      <c r="B75" s="7">
        <f ca="1">INDEX([1]Matches!$B$4:$J$113,MATCH($F75,[1]Matches!$B$4:$B$113,0),5)</f>
        <v>46201.875</v>
      </c>
      <c r="C75" s="8" t="str">
        <f ca="1">INDEX([1]Matches!$B$4:$J$113,MATCH($F75,[1]Matches!$B$4:$B$113,0),8)</f>
        <v>Mexico</v>
      </c>
      <c r="D75" s="8" t="str">
        <f ca="1">INDEX([1]Matches!$B$4:$J$113,MATCH($F75,[1]Matches!$B$4:$B$113,0),9)</f>
        <v>Switzerland</v>
      </c>
      <c r="E75" s="11">
        <v>73</v>
      </c>
      <c r="F75" s="10" t="str">
        <f ca="1">INDEX([1]Matches!$B$4:$J$113,MATCH($F75,[1]Matches!$B$4:$B$113,0),2)</f>
        <v>2A</v>
      </c>
      <c r="G75" s="10" t="str">
        <f ca="1">INDEX([1]Matches!$B$4:$J$113,MATCH($F75,[1]Matches!$B$4:$B$113,0),3)</f>
        <v>2B</v>
      </c>
      <c r="H75" s="10" t="str">
        <f ca="1">IFERROR(VLOOKUP($F75,[1]Matches!$B$4:$H$113,7,0),"")</f>
        <v>Los Angeles</v>
      </c>
    </row>
    <row r="76" spans="1:8" x14ac:dyDescent="0.3">
      <c r="A76" s="6">
        <f ca="1">INDEX([1]Matches!$B$4:$J$113,MATCH($F76,[1]Matches!$B$4:$B$113,0),5)</f>
        <v>46202.9375</v>
      </c>
      <c r="B76" s="7">
        <f ca="1">INDEX([1]Matches!$B$4:$J$113,MATCH($F76,[1]Matches!$B$4:$B$113,0),5)</f>
        <v>46202.9375</v>
      </c>
      <c r="C76" s="8" t="str">
        <f ca="1">INDEX([1]Matches!$B$4:$J$113,MATCH($F76,[1]Matches!$B$4:$B$113,0),8)</f>
        <v>Curaçao</v>
      </c>
      <c r="D76" s="8" t="str">
        <f ca="1">INDEX([1]Matches!$B$4:$J$113,MATCH($F76,[1]Matches!$B$4:$B$113,0),9)</f>
        <v>Play-Off C</v>
      </c>
      <c r="E76" s="11">
        <v>74</v>
      </c>
      <c r="F76" s="10" t="str">
        <f ca="1">INDEX([1]Matches!$B$4:$J$113,MATCH($F76,[1]Matches!$B$4:$B$113,0),2)</f>
        <v>1E</v>
      </c>
      <c r="G76" s="10" t="str">
        <f ca="1">INDEX([1]Matches!$B$4:$J$113,MATCH($F76,[1]Matches!$B$4:$B$113,0),3)</f>
        <v>3-ABCDF</v>
      </c>
      <c r="H76" s="10" t="str">
        <f ca="1">IFERROR(VLOOKUP($F76,[1]Matches!$B$4:$H$113,7,0),"")</f>
        <v>Boston</v>
      </c>
    </row>
    <row r="77" spans="1:8" x14ac:dyDescent="0.3">
      <c r="A77" s="6">
        <f ca="1">INDEX([1]Matches!$B$4:$J$113,MATCH($F77,[1]Matches!$B$4:$B$113,0),5)</f>
        <v>46203.125</v>
      </c>
      <c r="B77" s="7">
        <f ca="1">INDEX([1]Matches!$B$4:$J$113,MATCH($F77,[1]Matches!$B$4:$B$113,0),5)</f>
        <v>46203.125</v>
      </c>
      <c r="C77" s="8" t="str">
        <f ca="1">INDEX([1]Matches!$B$4:$J$113,MATCH($F77,[1]Matches!$B$4:$B$113,0),8)</f>
        <v>Netherlands</v>
      </c>
      <c r="D77" s="8" t="str">
        <f ca="1">INDEX([1]Matches!$B$4:$J$113,MATCH($F77,[1]Matches!$B$4:$B$113,0),9)</f>
        <v>Scotland</v>
      </c>
      <c r="E77" s="11">
        <v>75</v>
      </c>
      <c r="F77" s="10" t="str">
        <f ca="1">INDEX([1]Matches!$B$4:$J$113,MATCH($F77,[1]Matches!$B$4:$B$113,0),2)</f>
        <v>1F</v>
      </c>
      <c r="G77" s="10" t="str">
        <f ca="1">INDEX([1]Matches!$B$4:$J$113,MATCH($F77,[1]Matches!$B$4:$B$113,0),3)</f>
        <v>2C</v>
      </c>
      <c r="H77" s="10" t="str">
        <f ca="1">IFERROR(VLOOKUP($F77,[1]Matches!$B$4:$H$113,7,0),"")</f>
        <v>Monterrey</v>
      </c>
    </row>
    <row r="78" spans="1:8" x14ac:dyDescent="0.3">
      <c r="A78" s="6">
        <f ca="1">INDEX([1]Matches!$B$4:$J$113,MATCH($F78,[1]Matches!$B$4:$B$113,0),5)</f>
        <v>46202.791666666664</v>
      </c>
      <c r="B78" s="7">
        <f ca="1">INDEX([1]Matches!$B$4:$J$113,MATCH($F78,[1]Matches!$B$4:$B$113,0),5)</f>
        <v>46202.791666666664</v>
      </c>
      <c r="C78" s="8" t="str">
        <f ca="1">INDEX([1]Matches!$B$4:$J$113,MATCH($F78,[1]Matches!$B$4:$B$113,0),8)</f>
        <v>Brazil</v>
      </c>
      <c r="D78" s="8" t="str">
        <f ca="1">INDEX([1]Matches!$B$4:$J$113,MATCH($F78,[1]Matches!$B$4:$B$113,0),9)</f>
        <v>Japan</v>
      </c>
      <c r="E78" s="11">
        <v>76</v>
      </c>
      <c r="F78" s="10" t="str">
        <f ca="1">INDEX([1]Matches!$B$4:$J$113,MATCH($F78,[1]Matches!$B$4:$B$113,0),2)</f>
        <v>1C</v>
      </c>
      <c r="G78" s="10" t="str">
        <f ca="1">INDEX([1]Matches!$B$4:$J$113,MATCH($F78,[1]Matches!$B$4:$B$113,0),3)</f>
        <v>2F</v>
      </c>
      <c r="H78" s="10" t="str">
        <f ca="1">IFERROR(VLOOKUP($F78,[1]Matches!$B$4:$H$113,7,0),"")</f>
        <v>Houston</v>
      </c>
    </row>
    <row r="79" spans="1:8" x14ac:dyDescent="0.3">
      <c r="A79" s="6">
        <f ca="1">INDEX([1]Matches!$B$4:$J$113,MATCH($F79,[1]Matches!$B$4:$B$113,0),5)</f>
        <v>46203.958333333336</v>
      </c>
      <c r="B79" s="7">
        <f ca="1">INDEX([1]Matches!$B$4:$J$113,MATCH($F79,[1]Matches!$B$4:$B$113,0),5)</f>
        <v>46203.958333333336</v>
      </c>
      <c r="C79" s="8" t="str">
        <f ca="1">INDEX([1]Matches!$B$4:$J$113,MATCH($F79,[1]Matches!$B$4:$B$113,0),8)</f>
        <v>Senegal</v>
      </c>
      <c r="D79" s="8" t="str">
        <f ca="1">INDEX([1]Matches!$B$4:$J$113,MATCH($F79,[1]Matches!$B$4:$B$113,0),9)</f>
        <v>Tunisia</v>
      </c>
      <c r="E79" s="11">
        <v>77</v>
      </c>
      <c r="F79" s="10" t="str">
        <f ca="1">INDEX([1]Matches!$B$4:$J$113,MATCH($F79,[1]Matches!$B$4:$B$113,0),2)</f>
        <v>1I</v>
      </c>
      <c r="G79" s="10" t="str">
        <f ca="1">INDEX([1]Matches!$B$4:$J$113,MATCH($F79,[1]Matches!$B$4:$B$113,0),3)</f>
        <v>3-CDFGH</v>
      </c>
      <c r="H79" s="10" t="str">
        <f ca="1">IFERROR(VLOOKUP($F79,[1]Matches!$B$4:$H$113,7,0),"")</f>
        <v>New York/New Jersey</v>
      </c>
    </row>
    <row r="80" spans="1:8" x14ac:dyDescent="0.3">
      <c r="A80" s="6">
        <f ca="1">INDEX([1]Matches!$B$4:$J$113,MATCH($F80,[1]Matches!$B$4:$B$113,0),5)</f>
        <v>46203.791666666664</v>
      </c>
      <c r="B80" s="7">
        <f ca="1">INDEX([1]Matches!$B$4:$J$113,MATCH($F80,[1]Matches!$B$4:$B$113,0),5)</f>
        <v>46203.791666666664</v>
      </c>
      <c r="C80" s="8" t="str">
        <f ca="1">INDEX([1]Matches!$B$4:$J$113,MATCH($F80,[1]Matches!$B$4:$B$113,0),8)</f>
        <v>Ivory Coast</v>
      </c>
      <c r="D80" s="8" t="str">
        <f ca="1">INDEX([1]Matches!$B$4:$J$113,MATCH($F80,[1]Matches!$B$4:$B$113,0),9)</f>
        <v>Play-Off 2</v>
      </c>
      <c r="E80" s="11">
        <v>78</v>
      </c>
      <c r="F80" s="10" t="str">
        <f ca="1">INDEX([1]Matches!$B$4:$J$113,MATCH($F80,[1]Matches!$B$4:$B$113,0),2)</f>
        <v>2E</v>
      </c>
      <c r="G80" s="10" t="str">
        <f ca="1">INDEX([1]Matches!$B$4:$J$113,MATCH($F80,[1]Matches!$B$4:$B$113,0),3)</f>
        <v>2I</v>
      </c>
      <c r="H80" s="10" t="str">
        <f ca="1">IFERROR(VLOOKUP($F80,[1]Matches!$B$4:$H$113,7,0),"")</f>
        <v>Dallas</v>
      </c>
    </row>
    <row r="81" spans="1:8" x14ac:dyDescent="0.3">
      <c r="A81" s="6">
        <f ca="1">INDEX([1]Matches!$B$4:$J$113,MATCH($F81,[1]Matches!$B$4:$B$113,0),5)</f>
        <v>46204.125</v>
      </c>
      <c r="B81" s="7">
        <f ca="1">INDEX([1]Matches!$B$4:$J$113,MATCH($F81,[1]Matches!$B$4:$B$113,0),5)</f>
        <v>46204.125</v>
      </c>
      <c r="C81" s="8" t="str">
        <f ca="1">INDEX([1]Matches!$B$4:$J$113,MATCH($F81,[1]Matches!$B$4:$B$113,0),8)</f>
        <v>Rep. of Korea</v>
      </c>
      <c r="D81" s="8" t="str">
        <f ca="1">INDEX([1]Matches!$B$4:$J$113,MATCH($F81,[1]Matches!$B$4:$B$113,0),9)</f>
        <v>Germany</v>
      </c>
      <c r="E81" s="11">
        <v>79</v>
      </c>
      <c r="F81" s="10" t="str">
        <f ca="1">INDEX([1]Matches!$B$4:$J$113,MATCH($F81,[1]Matches!$B$4:$B$113,0),2)</f>
        <v>1A</v>
      </c>
      <c r="G81" s="10" t="str">
        <f ca="1">INDEX([1]Matches!$B$4:$J$113,MATCH($F81,[1]Matches!$B$4:$B$113,0),3)</f>
        <v>3-CEFHI</v>
      </c>
      <c r="H81" s="10" t="str">
        <f ca="1">IFERROR(VLOOKUP($F81,[1]Matches!$B$4:$H$113,7,0),"")</f>
        <v>Mexico City</v>
      </c>
    </row>
    <row r="82" spans="1:8" x14ac:dyDescent="0.3">
      <c r="A82" s="6">
        <f ca="1">INDEX([1]Matches!$B$4:$J$113,MATCH($F82,[1]Matches!$B$4:$B$113,0),5)</f>
        <v>46204.75</v>
      </c>
      <c r="B82" s="7">
        <f ca="1">INDEX([1]Matches!$B$4:$J$113,MATCH($F82,[1]Matches!$B$4:$B$113,0),5)</f>
        <v>46204.75</v>
      </c>
      <c r="C82" s="8" t="str">
        <f ca="1">INDEX([1]Matches!$B$4:$J$113,MATCH($F82,[1]Matches!$B$4:$B$113,0),8)</f>
        <v>Ghana</v>
      </c>
      <c r="D82" s="8" t="str">
        <f ca="1">INDEX([1]Matches!$B$4:$J$113,MATCH($F82,[1]Matches!$B$4:$B$113,0),9)</f>
        <v>France</v>
      </c>
      <c r="E82" s="11">
        <v>80</v>
      </c>
      <c r="F82" s="10" t="str">
        <f ca="1">INDEX([1]Matches!$B$4:$J$113,MATCH($F82,[1]Matches!$B$4:$B$113,0),2)</f>
        <v>1L</v>
      </c>
      <c r="G82" s="10" t="str">
        <f ca="1">INDEX([1]Matches!$B$4:$J$113,MATCH($F82,[1]Matches!$B$4:$B$113,0),3)</f>
        <v>3-EHIJK</v>
      </c>
      <c r="H82" s="10" t="str">
        <f ca="1">IFERROR(VLOOKUP($F82,[1]Matches!$B$4:$H$113,7,0),"")</f>
        <v>Atlanta</v>
      </c>
    </row>
    <row r="83" spans="1:8" x14ac:dyDescent="0.3">
      <c r="A83" s="6">
        <f ca="1">INDEX([1]Matches!$B$4:$J$113,MATCH($F83,[1]Matches!$B$4:$B$113,0),5)</f>
        <v>46205.083333333336</v>
      </c>
      <c r="B83" s="7">
        <f ca="1">INDEX([1]Matches!$B$4:$J$113,MATCH($F83,[1]Matches!$B$4:$B$113,0),5)</f>
        <v>46205.083333333336</v>
      </c>
      <c r="C83" s="8" t="str">
        <f ca="1">INDEX([1]Matches!$B$4:$J$113,MATCH($F83,[1]Matches!$B$4:$B$113,0),8)</f>
        <v>USA</v>
      </c>
      <c r="D83" s="8" t="str">
        <f ca="1">INDEX([1]Matches!$B$4:$J$113,MATCH($F83,[1]Matches!$B$4:$B$113,0),9)</f>
        <v>Jordan</v>
      </c>
      <c r="E83" s="11">
        <v>81</v>
      </c>
      <c r="F83" s="10" t="str">
        <f ca="1">INDEX([1]Matches!$B$4:$J$113,MATCH($F83,[1]Matches!$B$4:$B$113,0),2)</f>
        <v>1D</v>
      </c>
      <c r="G83" s="10" t="str">
        <f ca="1">INDEX([1]Matches!$B$4:$J$113,MATCH($F83,[1]Matches!$B$4:$B$113,0),3)</f>
        <v>3-BEFIJ</v>
      </c>
      <c r="H83" s="10" t="str">
        <f ca="1">IFERROR(VLOOKUP($F83,[1]Matches!$B$4:$H$113,7,0),"")</f>
        <v>San Francisco Bay Area</v>
      </c>
    </row>
    <row r="84" spans="1:8" x14ac:dyDescent="0.3">
      <c r="A84" s="6">
        <f ca="1">INDEX([1]Matches!$B$4:$J$113,MATCH($F84,[1]Matches!$B$4:$B$113,0),5)</f>
        <v>46204.916666666664</v>
      </c>
      <c r="B84" s="7">
        <f ca="1">INDEX([1]Matches!$B$4:$J$113,MATCH($F84,[1]Matches!$B$4:$B$113,0),5)</f>
        <v>46204.916666666664</v>
      </c>
      <c r="C84" s="8" t="str">
        <f ca="1">INDEX([1]Matches!$B$4:$J$113,MATCH($F84,[1]Matches!$B$4:$B$113,0),8)</f>
        <v>IR Iran</v>
      </c>
      <c r="D84" s="8" t="str">
        <f ca="1">INDEX([1]Matches!$B$4:$J$113,MATCH($F84,[1]Matches!$B$4:$B$113,0),9)</f>
        <v>Play-Off D</v>
      </c>
      <c r="E84" s="11">
        <v>82</v>
      </c>
      <c r="F84" s="10" t="str">
        <f ca="1">INDEX([1]Matches!$B$4:$J$113,MATCH($F84,[1]Matches!$B$4:$B$113,0),2)</f>
        <v>1G</v>
      </c>
      <c r="G84" s="10" t="str">
        <f ca="1">INDEX([1]Matches!$B$4:$J$113,MATCH($F84,[1]Matches!$B$4:$B$113,0),3)</f>
        <v>3-AEHIJ</v>
      </c>
      <c r="H84" s="10" t="str">
        <f ca="1">IFERROR(VLOOKUP($F84,[1]Matches!$B$4:$H$113,7,0),"")</f>
        <v>Seattle</v>
      </c>
    </row>
    <row r="85" spans="1:8" x14ac:dyDescent="0.3">
      <c r="A85" s="6">
        <f ca="1">INDEX([1]Matches!$B$4:$J$113,MATCH($F85,[1]Matches!$B$4:$B$113,0),5)</f>
        <v>46206.041666666664</v>
      </c>
      <c r="B85" s="7">
        <f ca="1">INDEX([1]Matches!$B$4:$J$113,MATCH($F85,[1]Matches!$B$4:$B$113,0),5)</f>
        <v>46206.041666666664</v>
      </c>
      <c r="C85" s="8" t="str">
        <f ca="1">INDEX([1]Matches!$B$4:$J$113,MATCH($F85,[1]Matches!$B$4:$B$113,0),8)</f>
        <v>Play-Off 1</v>
      </c>
      <c r="D85" s="8" t="str">
        <f ca="1">INDEX([1]Matches!$B$4:$J$113,MATCH($F85,[1]Matches!$B$4:$B$113,0),9)</f>
        <v>Panama</v>
      </c>
      <c r="E85" s="11">
        <v>83</v>
      </c>
      <c r="F85" s="10" t="str">
        <f ca="1">INDEX([1]Matches!$B$4:$J$113,MATCH($F85,[1]Matches!$B$4:$B$113,0),2)</f>
        <v>2K</v>
      </c>
      <c r="G85" s="10" t="str">
        <f ca="1">INDEX([1]Matches!$B$4:$J$113,MATCH($F85,[1]Matches!$B$4:$B$113,0),3)</f>
        <v>2L</v>
      </c>
      <c r="H85" s="10" t="str">
        <f ca="1">IFERROR(VLOOKUP($F85,[1]Matches!$B$4:$H$113,7,0),"")</f>
        <v>Toronto</v>
      </c>
    </row>
    <row r="86" spans="1:8" x14ac:dyDescent="0.3">
      <c r="A86" s="6">
        <f ca="1">INDEX([1]Matches!$B$4:$J$113,MATCH($F86,[1]Matches!$B$4:$B$113,0),5)</f>
        <v>46205.875</v>
      </c>
      <c r="B86" s="7">
        <f ca="1">INDEX([1]Matches!$B$4:$J$113,MATCH($F86,[1]Matches!$B$4:$B$113,0),5)</f>
        <v>46205.875</v>
      </c>
      <c r="C86" s="8" t="str">
        <f ca="1">INDEX([1]Matches!$B$4:$J$113,MATCH($F86,[1]Matches!$B$4:$B$113,0),8)</f>
        <v>Saudi Arabia</v>
      </c>
      <c r="D86" s="8" t="str">
        <f ca="1">INDEX([1]Matches!$B$4:$J$113,MATCH($F86,[1]Matches!$B$4:$B$113,0),9)</f>
        <v>Algeria</v>
      </c>
      <c r="E86" s="11">
        <v>84</v>
      </c>
      <c r="F86" s="10" t="str">
        <f ca="1">INDEX([1]Matches!$B$4:$J$113,MATCH($F86,[1]Matches!$B$4:$B$113,0),2)</f>
        <v>1H</v>
      </c>
      <c r="G86" s="10" t="str">
        <f ca="1">INDEX([1]Matches!$B$4:$J$113,MATCH($F86,[1]Matches!$B$4:$B$113,0),3)</f>
        <v>2J</v>
      </c>
      <c r="H86" s="10" t="str">
        <f ca="1">IFERROR(VLOOKUP($F86,[1]Matches!$B$4:$H$113,7,0),"")</f>
        <v>Los Angeles</v>
      </c>
    </row>
    <row r="87" spans="1:8" x14ac:dyDescent="0.3">
      <c r="A87" s="6">
        <f ca="1">INDEX([1]Matches!$B$4:$J$113,MATCH($F87,[1]Matches!$B$4:$B$113,0),5)</f>
        <v>46206.208333333336</v>
      </c>
      <c r="B87" s="7">
        <f ca="1">INDEX([1]Matches!$B$4:$J$113,MATCH($F87,[1]Matches!$B$4:$B$113,0),5)</f>
        <v>46206.208333333336</v>
      </c>
      <c r="C87" s="8" t="str">
        <f ca="1">INDEX([1]Matches!$B$4:$J$113,MATCH($F87,[1]Matches!$B$4:$B$113,0),8)</f>
        <v>Canada</v>
      </c>
      <c r="D87" s="8" t="str">
        <f ca="1">INDEX([1]Matches!$B$4:$J$113,MATCH($F87,[1]Matches!$B$4:$B$113,0),9)</f>
        <v>Egypt</v>
      </c>
      <c r="E87" s="11">
        <v>85</v>
      </c>
      <c r="F87" s="10" t="str">
        <f ca="1">INDEX([1]Matches!$B$4:$J$113,MATCH($F87,[1]Matches!$B$4:$B$113,0),2)</f>
        <v>1B</v>
      </c>
      <c r="G87" s="10" t="str">
        <f ca="1">INDEX([1]Matches!$B$4:$J$113,MATCH($F87,[1]Matches!$B$4:$B$113,0),3)</f>
        <v>3-EFGIJ</v>
      </c>
      <c r="H87" s="10" t="str">
        <f ca="1">IFERROR(VLOOKUP($F87,[1]Matches!$B$4:$H$113,7,0),"")</f>
        <v>Vancouver</v>
      </c>
    </row>
    <row r="88" spans="1:8" x14ac:dyDescent="0.3">
      <c r="A88" s="6">
        <f ca="1">INDEX([1]Matches!$B$4:$J$113,MATCH($F88,[1]Matches!$B$4:$B$113,0),5)</f>
        <v>46207</v>
      </c>
      <c r="B88" s="7">
        <f ca="1">INDEX([1]Matches!$B$4:$J$113,MATCH($F88,[1]Matches!$B$4:$B$113,0),5)</f>
        <v>46207</v>
      </c>
      <c r="C88" s="8" t="str">
        <f ca="1">INDEX([1]Matches!$B$4:$J$113,MATCH($F88,[1]Matches!$B$4:$B$113,0),8)</f>
        <v>Austria</v>
      </c>
      <c r="D88" s="8" t="str">
        <f ca="1">INDEX([1]Matches!$B$4:$J$113,MATCH($F88,[1]Matches!$B$4:$B$113,0),9)</f>
        <v>Spain</v>
      </c>
      <c r="E88" s="11">
        <v>86</v>
      </c>
      <c r="F88" s="10" t="str">
        <f ca="1">INDEX([1]Matches!$B$4:$J$113,MATCH($F88,[1]Matches!$B$4:$B$113,0),2)</f>
        <v>1J</v>
      </c>
      <c r="G88" s="10" t="str">
        <f ca="1">INDEX([1]Matches!$B$4:$J$113,MATCH($F88,[1]Matches!$B$4:$B$113,0),3)</f>
        <v>2H</v>
      </c>
      <c r="H88" s="10" t="str">
        <f ca="1">IFERROR(VLOOKUP($F88,[1]Matches!$B$4:$H$113,7,0),"")</f>
        <v>Miami</v>
      </c>
    </row>
    <row r="89" spans="1:8" x14ac:dyDescent="0.3">
      <c r="A89" s="6">
        <f ca="1">INDEX([1]Matches!$B$4:$J$113,MATCH($F89,[1]Matches!$B$4:$B$113,0),5)</f>
        <v>46207.145833333336</v>
      </c>
      <c r="B89" s="7">
        <f ca="1">INDEX([1]Matches!$B$4:$J$113,MATCH($F89,[1]Matches!$B$4:$B$113,0),5)</f>
        <v>46207.145833333336</v>
      </c>
      <c r="C89" s="8" t="str">
        <f ca="1">INDEX([1]Matches!$B$4:$J$113,MATCH($F89,[1]Matches!$B$4:$B$113,0),8)</f>
        <v>Uzbekistan</v>
      </c>
      <c r="D89" s="8" t="str">
        <f ca="1">INDEX([1]Matches!$B$4:$J$113,MATCH($F89,[1]Matches!$B$4:$B$113,0),9)</f>
        <v>Croatia</v>
      </c>
      <c r="E89" s="11">
        <v>87</v>
      </c>
      <c r="F89" s="10" t="str">
        <f ca="1">INDEX([1]Matches!$B$4:$J$113,MATCH($F89,[1]Matches!$B$4:$B$113,0),2)</f>
        <v>1K</v>
      </c>
      <c r="G89" s="10" t="str">
        <f ca="1">INDEX([1]Matches!$B$4:$J$113,MATCH($F89,[1]Matches!$B$4:$B$113,0),3)</f>
        <v>3-DEIJL</v>
      </c>
      <c r="H89" s="10" t="str">
        <f ca="1">IFERROR(VLOOKUP($F89,[1]Matches!$B$4:$H$113,7,0),"")</f>
        <v>Kansas City</v>
      </c>
    </row>
    <row r="90" spans="1:8" x14ac:dyDescent="0.3">
      <c r="A90" s="6">
        <f ca="1">INDEX([1]Matches!$B$4:$J$113,MATCH($F90,[1]Matches!$B$4:$B$113,0),5)</f>
        <v>46206.833333333336</v>
      </c>
      <c r="B90" s="7">
        <f ca="1">INDEX([1]Matches!$B$4:$J$113,MATCH($F90,[1]Matches!$B$4:$B$113,0),5)</f>
        <v>46206.833333333336</v>
      </c>
      <c r="C90" s="8" t="str">
        <f ca="1">INDEX([1]Matches!$B$4:$J$113,MATCH($F90,[1]Matches!$B$4:$B$113,0),8)</f>
        <v>Paraguay</v>
      </c>
      <c r="D90" s="8" t="str">
        <f ca="1">INDEX([1]Matches!$B$4:$J$113,MATCH($F90,[1]Matches!$B$4:$B$113,0),9)</f>
        <v>New Zealand</v>
      </c>
      <c r="E90" s="11">
        <v>88</v>
      </c>
      <c r="F90" s="10" t="str">
        <f ca="1">INDEX([1]Matches!$B$4:$J$113,MATCH($F90,[1]Matches!$B$4:$B$113,0),2)</f>
        <v>2D</v>
      </c>
      <c r="G90" s="10" t="str">
        <f ca="1">INDEX([1]Matches!$B$4:$J$113,MATCH($F90,[1]Matches!$B$4:$B$113,0),3)</f>
        <v>2G</v>
      </c>
      <c r="H90" s="10" t="str">
        <f ca="1">IFERROR(VLOOKUP($F90,[1]Matches!$B$4:$H$113,7,0),"")</f>
        <v>Dallas</v>
      </c>
    </row>
    <row r="91" spans="1:8" x14ac:dyDescent="0.3">
      <c r="A91" s="12" t="str">
        <f>[1]Language!$E$251</f>
        <v>Round of 16</v>
      </c>
      <c r="B91" s="13"/>
      <c r="C91" s="14"/>
      <c r="D91" s="14"/>
      <c r="E91" s="15"/>
      <c r="F91" s="16"/>
      <c r="G91" s="17"/>
      <c r="H91" s="17"/>
    </row>
    <row r="92" spans="1:8" x14ac:dyDescent="0.3">
      <c r="A92" s="6">
        <f ca="1">INDEX([1]Matches!$B$4:$J$113,MATCH($F92,[1]Matches!$B$4:$B$113,0),5)</f>
        <v>46207.958333333336</v>
      </c>
      <c r="B92" s="7">
        <f ca="1">INDEX([1]Matches!$B$4:$J$113,MATCH($F92,[1]Matches!$B$4:$B$113,0),5)</f>
        <v>46207.958333333336</v>
      </c>
      <c r="C92" s="18" t="str">
        <f>'[1]World Cup'!$B$60</f>
        <v/>
      </c>
      <c r="D92" s="18" t="str">
        <f>'[1]World Cup'!$C$60</f>
        <v/>
      </c>
      <c r="E92" s="11">
        <v>89</v>
      </c>
      <c r="F92" s="10" t="str">
        <f ca="1">INDEX([1]Matches!$B$4:$J$113,MATCH($F92,[1]Matches!$B$4:$B$113,0),2)</f>
        <v>W74</v>
      </c>
      <c r="G92" s="10" t="str">
        <f ca="1">INDEX([1]Matches!$B$4:$J$113,MATCH($F92,[1]Matches!$B$4:$B$113,0),3)</f>
        <v>W77</v>
      </c>
      <c r="H92" s="10" t="str">
        <f ca="1">IFERROR(VLOOKUP($F92,[1]Matches!$B$4:$H$113,7,0),"")</f>
        <v>Philadelphia</v>
      </c>
    </row>
    <row r="93" spans="1:8" x14ac:dyDescent="0.3">
      <c r="A93" s="6">
        <f ca="1">INDEX([1]Matches!$B$4:$J$113,MATCH($F93,[1]Matches!$B$4:$B$113,0),5)</f>
        <v>46207.791666666664</v>
      </c>
      <c r="B93" s="7">
        <f ca="1">INDEX([1]Matches!$B$4:$J$113,MATCH($F93,[1]Matches!$B$4:$B$113,0),5)</f>
        <v>46207.791666666664</v>
      </c>
      <c r="C93" s="18" t="str">
        <f>'[1]World Cup'!$E$60</f>
        <v/>
      </c>
      <c r="D93" s="18" t="str">
        <f>'[1]World Cup'!$F$60</f>
        <v/>
      </c>
      <c r="E93" s="11">
        <v>90</v>
      </c>
      <c r="F93" s="10" t="str">
        <f ca="1">INDEX([1]Matches!$B$4:$J$113,MATCH($F93,[1]Matches!$B$4:$B$113,0),2)</f>
        <v>W73</v>
      </c>
      <c r="G93" s="10" t="str">
        <f ca="1">INDEX([1]Matches!$B$4:$J$113,MATCH($F93,[1]Matches!$B$4:$B$113,0),3)</f>
        <v>W75</v>
      </c>
      <c r="H93" s="10" t="str">
        <f ca="1">IFERROR(VLOOKUP($F93,[1]Matches!$B$4:$H$113,7,0),"")</f>
        <v>Houston</v>
      </c>
    </row>
    <row r="94" spans="1:8" x14ac:dyDescent="0.3">
      <c r="A94" s="6">
        <f ca="1">INDEX([1]Matches!$B$4:$J$113,MATCH($F94,[1]Matches!$B$4:$B$113,0),5)</f>
        <v>46208.916666666664</v>
      </c>
      <c r="B94" s="7">
        <f ca="1">INDEX([1]Matches!$B$4:$J$113,MATCH($F94,[1]Matches!$B$4:$B$113,0),5)</f>
        <v>46208.916666666664</v>
      </c>
      <c r="C94" s="18" t="str">
        <f>'[1]World Cup'!$H$60</f>
        <v/>
      </c>
      <c r="D94" s="18" t="str">
        <f>'[1]World Cup'!$I$60</f>
        <v/>
      </c>
      <c r="E94" s="11">
        <v>91</v>
      </c>
      <c r="F94" s="10" t="str">
        <f ca="1">INDEX([1]Matches!$B$4:$J$113,MATCH($F94,[1]Matches!$B$4:$B$113,0),2)</f>
        <v>W76</v>
      </c>
      <c r="G94" s="10" t="str">
        <f ca="1">INDEX([1]Matches!$B$4:$J$113,MATCH($F94,[1]Matches!$B$4:$B$113,0),3)</f>
        <v>W78</v>
      </c>
      <c r="H94" s="10" t="str">
        <f ca="1">IFERROR(VLOOKUP($F94,[1]Matches!$B$4:$H$113,7,0),"")</f>
        <v>New York/New Jersey</v>
      </c>
    </row>
    <row r="95" spans="1:8" x14ac:dyDescent="0.3">
      <c r="A95" s="6">
        <f ca="1">INDEX([1]Matches!$B$4:$J$113,MATCH($F95,[1]Matches!$B$4:$B$113,0),5)</f>
        <v>46209.083333333336</v>
      </c>
      <c r="B95" s="7">
        <f ca="1">INDEX([1]Matches!$B$4:$J$113,MATCH($F95,[1]Matches!$B$4:$B$113,0),5)</f>
        <v>46209.083333333336</v>
      </c>
      <c r="C95" s="18" t="str">
        <f>'[1]World Cup'!$K$60</f>
        <v/>
      </c>
      <c r="D95" s="18" t="str">
        <f>'[1]World Cup'!$L$60</f>
        <v/>
      </c>
      <c r="E95" s="11">
        <v>92</v>
      </c>
      <c r="F95" s="10" t="str">
        <f ca="1">INDEX([1]Matches!$B$4:$J$113,MATCH($F95,[1]Matches!$B$4:$B$113,0),2)</f>
        <v>W79</v>
      </c>
      <c r="G95" s="10" t="str">
        <f ca="1">INDEX([1]Matches!$B$4:$J$113,MATCH($F95,[1]Matches!$B$4:$B$113,0),3)</f>
        <v>W80</v>
      </c>
      <c r="H95" s="10" t="str">
        <f ca="1">IFERROR(VLOOKUP($F95,[1]Matches!$B$4:$H$113,7,0),"")</f>
        <v>Mexico City</v>
      </c>
    </row>
    <row r="96" spans="1:8" x14ac:dyDescent="0.3">
      <c r="A96" s="6">
        <f ca="1">INDEX([1]Matches!$B$4:$J$113,MATCH($F96,[1]Matches!$B$4:$B$113,0),5)</f>
        <v>46209.875</v>
      </c>
      <c r="B96" s="7">
        <f ca="1">INDEX([1]Matches!$B$4:$J$113,MATCH($F96,[1]Matches!$B$4:$B$113,0),5)</f>
        <v>46209.875</v>
      </c>
      <c r="C96" s="18" t="str">
        <f>'[1]World Cup'!$N$60</f>
        <v/>
      </c>
      <c r="D96" s="18" t="str">
        <f>'[1]World Cup'!$O$60</f>
        <v/>
      </c>
      <c r="E96" s="11">
        <v>93</v>
      </c>
      <c r="F96" s="10" t="str">
        <f ca="1">INDEX([1]Matches!$B$4:$J$113,MATCH($F96,[1]Matches!$B$4:$B$113,0),2)</f>
        <v>W83</v>
      </c>
      <c r="G96" s="10" t="str">
        <f ca="1">INDEX([1]Matches!$B$4:$J$113,MATCH($F96,[1]Matches!$B$4:$B$113,0),3)</f>
        <v>W84</v>
      </c>
      <c r="H96" s="10" t="str">
        <f ca="1">IFERROR(VLOOKUP($F96,[1]Matches!$B$4:$H$113,7,0),"")</f>
        <v>Dallas</v>
      </c>
    </row>
    <row r="97" spans="1:8" x14ac:dyDescent="0.3">
      <c r="A97" s="6">
        <f ca="1">INDEX([1]Matches!$B$4:$J$113,MATCH($F97,[1]Matches!$B$4:$B$113,0),5)</f>
        <v>46210.083333333336</v>
      </c>
      <c r="B97" s="7">
        <f ca="1">INDEX([1]Matches!$B$4:$J$113,MATCH($F97,[1]Matches!$B$4:$B$113,0),5)</f>
        <v>46210.083333333336</v>
      </c>
      <c r="C97" s="18" t="str">
        <f>'[1]World Cup'!$Q$60</f>
        <v/>
      </c>
      <c r="D97" s="18" t="str">
        <f>'[1]World Cup'!$R$60</f>
        <v/>
      </c>
      <c r="E97" s="11">
        <v>94</v>
      </c>
      <c r="F97" s="10" t="str">
        <f ca="1">INDEX([1]Matches!$B$4:$J$113,MATCH($F97,[1]Matches!$B$4:$B$113,0),2)</f>
        <v>W81</v>
      </c>
      <c r="G97" s="10" t="str">
        <f ca="1">INDEX([1]Matches!$B$4:$J$113,MATCH($F97,[1]Matches!$B$4:$B$113,0),3)</f>
        <v>W82</v>
      </c>
      <c r="H97" s="10" t="str">
        <f ca="1">IFERROR(VLOOKUP($F97,[1]Matches!$B$4:$H$113,7,0),"")</f>
        <v>Seattle</v>
      </c>
    </row>
    <row r="98" spans="1:8" x14ac:dyDescent="0.3">
      <c r="A98" s="6">
        <f ca="1">INDEX([1]Matches!$B$4:$J$113,MATCH($F98,[1]Matches!$B$4:$B$113,0),5)</f>
        <v>46210.75</v>
      </c>
      <c r="B98" s="7">
        <f ca="1">INDEX([1]Matches!$B$4:$J$113,MATCH($F98,[1]Matches!$B$4:$B$113,0),5)</f>
        <v>46210.75</v>
      </c>
      <c r="C98" s="18" t="str">
        <f>'[1]World Cup'!$T$60</f>
        <v/>
      </c>
      <c r="D98" s="18" t="str">
        <f>'[1]World Cup'!$U$60</f>
        <v/>
      </c>
      <c r="E98" s="11">
        <v>95</v>
      </c>
      <c r="F98" s="10" t="str">
        <f ca="1">INDEX([1]Matches!$B$4:$J$113,MATCH($F98,[1]Matches!$B$4:$B$113,0),2)</f>
        <v>W86</v>
      </c>
      <c r="G98" s="10" t="str">
        <f ca="1">INDEX([1]Matches!$B$4:$J$113,MATCH($F98,[1]Matches!$B$4:$B$113,0),3)</f>
        <v>W88</v>
      </c>
      <c r="H98" s="10" t="str">
        <f ca="1">IFERROR(VLOOKUP($F98,[1]Matches!$B$4:$H$113,7,0),"")</f>
        <v>Atlanta</v>
      </c>
    </row>
    <row r="99" spans="1:8" x14ac:dyDescent="0.3">
      <c r="A99" s="6">
        <f ca="1">INDEX([1]Matches!$B$4:$J$113,MATCH($F99,[1]Matches!$B$4:$B$113,0),5)</f>
        <v>46210.916666666664</v>
      </c>
      <c r="B99" s="7">
        <f ca="1">INDEX([1]Matches!$B$4:$J$113,MATCH($F99,[1]Matches!$B$4:$B$113,0),5)</f>
        <v>46210.916666666664</v>
      </c>
      <c r="C99" s="18" t="str">
        <f>'[1]World Cup'!$W$60</f>
        <v/>
      </c>
      <c r="D99" s="18" t="str">
        <f>'[1]World Cup'!$X$60</f>
        <v/>
      </c>
      <c r="E99" s="11">
        <v>96</v>
      </c>
      <c r="F99" s="10" t="str">
        <f ca="1">INDEX([1]Matches!$B$4:$J$113,MATCH($F99,[1]Matches!$B$4:$B$113,0),2)</f>
        <v>W85</v>
      </c>
      <c r="G99" s="10" t="str">
        <f ca="1">INDEX([1]Matches!$B$4:$J$113,MATCH($F99,[1]Matches!$B$4:$B$113,0),3)</f>
        <v>W87</v>
      </c>
      <c r="H99" s="10" t="str">
        <f ca="1">IFERROR(VLOOKUP($F99,[1]Matches!$B$4:$H$113,7,0),"")</f>
        <v>Vancouver</v>
      </c>
    </row>
    <row r="100" spans="1:8" x14ac:dyDescent="0.3">
      <c r="A100" s="12" t="str">
        <f>[1]Language!$E$252</f>
        <v>Quarter final</v>
      </c>
      <c r="B100" s="13"/>
      <c r="C100" s="14"/>
      <c r="D100" s="14"/>
      <c r="E100" s="15"/>
      <c r="F100" s="16"/>
      <c r="G100" s="17"/>
      <c r="H100" s="17"/>
    </row>
    <row r="101" spans="1:8" x14ac:dyDescent="0.3">
      <c r="A101" s="6">
        <f ca="1">INDEX([1]Matches!$B$4:$J$113,MATCH($F101,[1]Matches!$B$4:$B$113,0),5)</f>
        <v>46212.916666666664</v>
      </c>
      <c r="B101" s="7">
        <f ca="1">INDEX([1]Matches!$B$4:$J$113,MATCH($F101,[1]Matches!$B$4:$B$113,0),5)</f>
        <v>46212.916666666664</v>
      </c>
      <c r="C101" s="18" t="str">
        <f>'[1]World Cup'!$C$70</f>
        <v/>
      </c>
      <c r="D101" s="18" t="str">
        <f>'[1]World Cup'!$E$70</f>
        <v/>
      </c>
      <c r="E101" s="11">
        <v>97</v>
      </c>
      <c r="F101" s="10" t="str">
        <f ca="1">INDEX([1]Matches!$B$4:$J$113,MATCH($F101,[1]Matches!$B$4:$B$113,0),2)</f>
        <v>W89</v>
      </c>
      <c r="G101" s="10" t="str">
        <f ca="1">INDEX([1]Matches!$B$4:$J$113,MATCH($F101,[1]Matches!$B$4:$B$113,0),3)</f>
        <v>W90</v>
      </c>
      <c r="H101" s="10" t="str">
        <f ca="1">IFERROR(VLOOKUP($F101,[1]Matches!$B$4:$H$113,7,0),"")</f>
        <v>Boston</v>
      </c>
    </row>
    <row r="102" spans="1:8" x14ac:dyDescent="0.3">
      <c r="A102" s="6">
        <f ca="1">INDEX([1]Matches!$B$4:$J$113,MATCH($F102,[1]Matches!$B$4:$B$113,0),5)</f>
        <v>46213.875</v>
      </c>
      <c r="B102" s="7">
        <f ca="1">INDEX([1]Matches!$B$4:$J$113,MATCH($F102,[1]Matches!$B$4:$B$113,0),5)</f>
        <v>46213.875</v>
      </c>
      <c r="C102" s="18" t="str">
        <f>'[1]World Cup'!$I$70</f>
        <v/>
      </c>
      <c r="D102" s="18" t="str">
        <f>'[1]World Cup'!$K$70</f>
        <v/>
      </c>
      <c r="E102" s="11">
        <v>98</v>
      </c>
      <c r="F102" s="10" t="str">
        <f ca="1">INDEX([1]Matches!$B$4:$J$113,MATCH($F102,[1]Matches!$B$4:$B$113,0),2)</f>
        <v>W93</v>
      </c>
      <c r="G102" s="10" t="str">
        <f ca="1">INDEX([1]Matches!$B$4:$J$113,MATCH($F102,[1]Matches!$B$4:$B$113,0),3)</f>
        <v>W94</v>
      </c>
      <c r="H102" s="10" t="str">
        <f ca="1">IFERROR(VLOOKUP($F102,[1]Matches!$B$4:$H$113,7,0),"")</f>
        <v>Los Angeles</v>
      </c>
    </row>
    <row r="103" spans="1:8" x14ac:dyDescent="0.3">
      <c r="A103" s="6">
        <f ca="1">INDEX([1]Matches!$B$4:$J$113,MATCH($F103,[1]Matches!$B$4:$B$113,0),5)</f>
        <v>46214.958333333336</v>
      </c>
      <c r="B103" s="7">
        <f ca="1">INDEX([1]Matches!$B$4:$J$113,MATCH($F103,[1]Matches!$B$4:$B$113,0),5)</f>
        <v>46214.958333333336</v>
      </c>
      <c r="C103" s="18" t="str">
        <f>'[1]World Cup'!$O$70</f>
        <v/>
      </c>
      <c r="D103" s="18" t="str">
        <f>'[1]World Cup'!$Q$70</f>
        <v/>
      </c>
      <c r="E103" s="11">
        <v>99</v>
      </c>
      <c r="F103" s="10" t="str">
        <f ca="1">INDEX([1]Matches!$B$4:$J$113,MATCH($F103,[1]Matches!$B$4:$B$113,0),2)</f>
        <v>W91</v>
      </c>
      <c r="G103" s="10" t="str">
        <f ca="1">INDEX([1]Matches!$B$4:$J$113,MATCH($F103,[1]Matches!$B$4:$B$113,0),3)</f>
        <v>W92</v>
      </c>
      <c r="H103" s="10" t="str">
        <f ca="1">IFERROR(VLOOKUP($F103,[1]Matches!$B$4:$H$113,7,0),"")</f>
        <v>Miami</v>
      </c>
    </row>
    <row r="104" spans="1:8" x14ac:dyDescent="0.3">
      <c r="A104" s="6">
        <f ca="1">INDEX([1]Matches!$B$4:$J$113,MATCH($F104,[1]Matches!$B$4:$B$113,0),5)</f>
        <v>46215.125</v>
      </c>
      <c r="B104" s="7">
        <f ca="1">INDEX([1]Matches!$B$4:$J$113,MATCH($F104,[1]Matches!$B$4:$B$113,0),5)</f>
        <v>46215.125</v>
      </c>
      <c r="C104" s="18" t="str">
        <f>'[1]World Cup'!$U$70</f>
        <v/>
      </c>
      <c r="D104" s="18" t="str">
        <f>'[1]World Cup'!$W$70</f>
        <v/>
      </c>
      <c r="E104" s="11">
        <v>100</v>
      </c>
      <c r="F104" s="10" t="str">
        <f ca="1">INDEX([1]Matches!$B$4:$J$113,MATCH($F104,[1]Matches!$B$4:$B$113,0),2)</f>
        <v>W95</v>
      </c>
      <c r="G104" s="10" t="str">
        <f ca="1">INDEX([1]Matches!$B$4:$J$113,MATCH($F104,[1]Matches!$B$4:$B$113,0),3)</f>
        <v>W96</v>
      </c>
      <c r="H104" s="10" t="str">
        <f ca="1">IFERROR(VLOOKUP($F104,[1]Matches!$B$4:$H$113,7,0),"")</f>
        <v>Kansas City</v>
      </c>
    </row>
    <row r="105" spans="1:8" x14ac:dyDescent="0.3">
      <c r="A105" s="12" t="str">
        <f>[1]Language!$E$253</f>
        <v>Semi-Final</v>
      </c>
      <c r="B105" s="13"/>
      <c r="C105" s="14"/>
      <c r="D105" s="14"/>
      <c r="E105" s="15"/>
      <c r="F105" s="16"/>
      <c r="G105" s="17"/>
      <c r="H105" s="17"/>
    </row>
    <row r="106" spans="1:8" x14ac:dyDescent="0.3">
      <c r="A106" s="6">
        <f ca="1">INDEX([1]Matches!$B$4:$J$113,MATCH($F106,[1]Matches!$B$4:$B$113,0),5)</f>
        <v>46217.875</v>
      </c>
      <c r="B106" s="7">
        <f ca="1">INDEX([1]Matches!$B$4:$J$113,MATCH($F106,[1]Matches!$B$4:$B$113,0),5)</f>
        <v>46217.875</v>
      </c>
      <c r="C106" s="18" t="str">
        <f>'[1]World Cup'!$F$80</f>
        <v/>
      </c>
      <c r="D106" s="18" t="str">
        <f>'[1]World Cup'!$H$80</f>
        <v/>
      </c>
      <c r="E106" s="11">
        <v>101</v>
      </c>
      <c r="F106" s="10" t="str">
        <f ca="1">INDEX([1]Matches!$B$4:$J$113,MATCH($F106,[1]Matches!$B$4:$B$113,0),2)</f>
        <v>W97</v>
      </c>
      <c r="G106" s="10" t="str">
        <f ca="1">INDEX([1]Matches!$B$4:$J$113,MATCH($F106,[1]Matches!$B$4:$B$113,0),3)</f>
        <v>W98</v>
      </c>
      <c r="H106" s="10" t="str">
        <f ca="1">IFERROR(VLOOKUP($F106,[1]Matches!$B$4:$H$113,7,0),"")</f>
        <v>Dallas</v>
      </c>
    </row>
    <row r="107" spans="1:8" x14ac:dyDescent="0.3">
      <c r="A107" s="19">
        <f ca="1">INDEX([1]Matches!$B$4:$J$113,MATCH($F107,[1]Matches!$B$4:$B$113,0),5)</f>
        <v>46218.875</v>
      </c>
      <c r="B107" s="20">
        <f ca="1">INDEX([1]Matches!$B$4:$J$113,MATCH($F107,[1]Matches!$B$4:$B$113,0),5)</f>
        <v>46218.875</v>
      </c>
      <c r="C107" s="21" t="str">
        <f>'[1]World Cup'!$R$80</f>
        <v/>
      </c>
      <c r="D107" s="21" t="str">
        <f>'[1]World Cup'!$T$80</f>
        <v/>
      </c>
      <c r="E107" s="11">
        <v>102</v>
      </c>
      <c r="F107" s="10" t="str">
        <f ca="1">INDEX([1]Matches!$B$4:$J$113,MATCH($F107,[1]Matches!$B$4:$B$113,0),2)</f>
        <v>W99</v>
      </c>
      <c r="G107" s="10" t="str">
        <f ca="1">INDEX([1]Matches!$B$4:$J$113,MATCH($F107,[1]Matches!$B$4:$B$113,0),3)</f>
        <v>W100</v>
      </c>
      <c r="H107" s="10" t="str">
        <f ca="1">IFERROR(VLOOKUP($F107,[1]Matches!$B$4:$H$113,7,0),"")</f>
        <v>Atlanta</v>
      </c>
    </row>
    <row r="108" spans="1:8" x14ac:dyDescent="0.3">
      <c r="A108" s="12" t="str">
        <f>[1]Language!$E$166</f>
        <v>Third place</v>
      </c>
      <c r="B108" s="13"/>
      <c r="C108" s="14"/>
      <c r="D108" s="14"/>
      <c r="E108" s="15"/>
      <c r="F108" s="16"/>
      <c r="G108" s="17"/>
      <c r="H108" s="17"/>
    </row>
    <row r="109" spans="1:8" x14ac:dyDescent="0.3">
      <c r="A109" s="6">
        <f ca="1">INDEX([1]Matches!$B$4:$J$113,MATCH($F109,[1]Matches!$B$4:$B$113,0),5)</f>
        <v>46221.958333333336</v>
      </c>
      <c r="B109" s="7">
        <f ca="1">INDEX([1]Matches!$B$4:$J$113,MATCH($F109,[1]Matches!$B$4:$B$113,0),5)</f>
        <v>46221.958333333336</v>
      </c>
      <c r="C109" s="18" t="str">
        <f>'[1]World Cup'!$L$88</f>
        <v/>
      </c>
      <c r="D109" s="18" t="str">
        <f>'[1]World Cup'!$N$88</f>
        <v/>
      </c>
      <c r="E109" s="11">
        <v>103</v>
      </c>
      <c r="F109" s="10" t="str">
        <f ca="1">INDEX([1]Matches!$B$4:$J$113,MATCH($F109,[1]Matches!$B$4:$B$113,0),2)</f>
        <v>RU101</v>
      </c>
      <c r="G109" s="10" t="str">
        <f ca="1">INDEX([1]Matches!$B$4:$J$113,MATCH($F109,[1]Matches!$B$4:$B$113,0),3)</f>
        <v>RU102</v>
      </c>
      <c r="H109" s="10" t="str">
        <f ca="1">IFERROR(VLOOKUP($F109,[1]Matches!$B$4:$H$113,7,0),"")</f>
        <v>Miami</v>
      </c>
    </row>
    <row r="110" spans="1:8" x14ac:dyDescent="0.3">
      <c r="A110" s="12" t="str">
        <f>[1]Language!$E$167</f>
        <v>Final</v>
      </c>
      <c r="B110" s="13"/>
      <c r="C110" s="14"/>
      <c r="D110" s="14"/>
      <c r="E110" s="15"/>
      <c r="F110" s="16"/>
      <c r="G110" s="17"/>
      <c r="H110" s="17"/>
    </row>
    <row r="111" spans="1:8" ht="15" thickBot="1" x14ac:dyDescent="0.35">
      <c r="A111" s="22">
        <f ca="1">INDEX([1]Matches!$B$4:$J$113,MATCH($F111,[1]Matches!$B$4:$B$113,0),5)</f>
        <v>46222.875</v>
      </c>
      <c r="B111" s="23">
        <f ca="1">INDEX([1]Matches!$B$4:$J$113,MATCH($F111,[1]Matches!$B$4:$B$113,0),5)</f>
        <v>46222.875</v>
      </c>
      <c r="C111" s="24" t="str">
        <f>'[1]World Cup'!$L$98</f>
        <v/>
      </c>
      <c r="D111" s="24" t="str">
        <f>'[1]World Cup'!$N$98</f>
        <v/>
      </c>
      <c r="E111" s="25">
        <v>104</v>
      </c>
      <c r="F111" s="26" t="str">
        <f ca="1">INDEX([1]Matches!$B$4:$J$113,MATCH($F111,[1]Matches!$B$4:$B$113,0),2)</f>
        <v>W101</v>
      </c>
      <c r="G111" s="26" t="str">
        <f ca="1">INDEX([1]Matches!$B$4:$J$113,MATCH($F111,[1]Matches!$B$4:$B$113,0),3)</f>
        <v>W102</v>
      </c>
      <c r="H111" s="26" t="str">
        <f ca="1">IFERROR(VLOOKUP($F111,[1]Matches!$B$4:$H$113,7,0),"")</f>
        <v>New York/New Jersey</v>
      </c>
    </row>
    <row r="112" spans="1:8" ht="15" thickTop="1" x14ac:dyDescent="0.3"/>
  </sheetData>
  <mergeCells count="1">
    <mergeCell ref="F1:G1"/>
  </mergeCells>
  <conditionalFormatting sqref="A2:A111">
    <cfRule type="expression" dxfId="4" priority="1">
      <formula>INT(A2)=TODAY()</formula>
    </cfRule>
  </conditionalFormatting>
  <conditionalFormatting sqref="C2:D111">
    <cfRule type="expression" dxfId="3" priority="14">
      <formula>AND(C2=$N$8,C2&lt;&gt;"")</formula>
    </cfRule>
    <cfRule type="expression" dxfId="2" priority="15">
      <formula>AND(C2=$N$7,C2&lt;&gt;"")</formula>
    </cfRule>
    <cfRule type="expression" dxfId="1" priority="16">
      <formula>AND(C2=#REF!,C2&lt;&gt;"")</formula>
    </cfRule>
    <cfRule type="expression" dxfId="0" priority="17">
      <formula>AND(C2=$N$6,C2&lt;&gt;"")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DailySchedule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Cornielly H</dc:creator>
  <cp:lastModifiedBy>Miguel Angel Cornielly H</cp:lastModifiedBy>
  <dcterms:created xsi:type="dcterms:W3CDTF">2026-03-04T03:18:58Z</dcterms:created>
  <dcterms:modified xsi:type="dcterms:W3CDTF">2026-03-04T03:24:43Z</dcterms:modified>
</cp:coreProperties>
</file>